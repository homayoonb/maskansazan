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E:\MyWork\Projects\قطعه 246 -نیل قاز\مالی 246\"/>
    </mc:Choice>
  </mc:AlternateContent>
  <xr:revisionPtr revIDLastSave="0" documentId="13_ncr:1_{117D080E-3C43-4DE0-95FF-21A2EA733ABD}" xr6:coauthVersionLast="47" xr6:coauthVersionMax="47" xr10:uidLastSave="{00000000-0000-0000-0000-000000000000}"/>
  <bookViews>
    <workbookView xWindow="-120" yWindow="-120" windowWidth="29040" windowHeight="15720" firstSheet="8" activeTab="14" xr2:uid="{BE07E7F5-046C-435A-8B49-D12285806F63}"/>
  </bookViews>
  <sheets>
    <sheet name="لیست اعضا" sheetId="1" r:id="rId1"/>
    <sheet name="یزدی-بلندیان" sheetId="2" r:id="rId2"/>
    <sheet name="ابوالفضل بلندیان" sheetId="3" r:id="rId3"/>
    <sheet name="هاشم و نرگس حاجی قاسمی" sheetId="6" r:id="rId4"/>
    <sheet name="حمیده احمدی" sheetId="16" r:id="rId5"/>
    <sheet name="نرگس پرویز زاده" sheetId="17" r:id="rId6"/>
    <sheet name="پویا" sheetId="4" r:id="rId7"/>
    <sheet name="نرگس حاجی قاسمی" sheetId="7" r:id="rId8"/>
    <sheet name="اعظم خوانین زاده" sheetId="9" r:id="rId9"/>
    <sheet name="یوسف حاجی قاسمی" sheetId="5" r:id="rId10"/>
    <sheet name="مرتضی دزفولیان" sheetId="8" r:id="rId11"/>
    <sheet name="هادی مرادی" sheetId="10" r:id="rId12"/>
    <sheet name="امید علی حیدری" sheetId="11" r:id="rId13"/>
    <sheet name="زهرا کریمی دهکردی" sheetId="12" r:id="rId14"/>
    <sheet name="لیلا کریمی دهکردی" sheetId="13" r:id="rId15"/>
    <sheet name="سیما صالح" sheetId="20" r:id="rId16"/>
    <sheet name="یوسف زاده" sheetId="14" r:id="rId17"/>
    <sheet name="موسی مرادی" sheetId="15" r:id="rId18"/>
    <sheet name="مهدی آذری" sheetId="18" r:id="rId19"/>
    <sheet name="کاظم عبدالهی" sheetId="19" r:id="rId20"/>
    <sheet name="علی آبادی" sheetId="21" r:id="rId21"/>
    <sheet name="شمس" sheetId="22" r:id="rId22"/>
    <sheet name="نرجس خسروی" sheetId="23" r:id="rId23"/>
    <sheet name="بهاره خسروی" sheetId="24" r:id="rId24"/>
    <sheet name="ده بزرگی" sheetId="25" r:id="rId25"/>
    <sheet name="چگینی" sheetId="26" r:id="rId26"/>
    <sheet name="محمد نظری فرد" sheetId="27" r:id="rId27"/>
    <sheet name="جواد هاشمی" sheetId="28" r:id="rId28"/>
    <sheet name="جواد غفوری" sheetId="29" r:id="rId29"/>
    <sheet name="رضا علی نژاد" sheetId="30" r:id="rId30"/>
    <sheet name="مرتضی محبی" sheetId="31" r:id="rId31"/>
    <sheet name="مهرداد کشاورز" sheetId="32" r:id="rId32"/>
    <sheet name="کبری کرمی" sheetId="33" r:id="rId33"/>
    <sheet name="معصومه یوسفی" sheetId="34" r:id="rId34"/>
    <sheet name="محمد حسینی" sheetId="35" r:id="rId35"/>
    <sheet name="زهرا فیض" sheetId="36" r:id="rId36"/>
    <sheet name="مجید خاکساران" sheetId="37" r:id="rId37"/>
  </sheets>
  <externalReferences>
    <externalReference r:id="rId3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3" l="1"/>
  <c r="N3" i="13"/>
  <c r="M3" i="12"/>
  <c r="N3" i="12" s="1"/>
  <c r="M3" i="4"/>
  <c r="B1" i="17"/>
  <c r="I15" i="2"/>
  <c r="B31" i="2"/>
  <c r="B1" i="3"/>
  <c r="H8" i="3"/>
  <c r="N3" i="4" l="1"/>
  <c r="H18" i="3"/>
  <c r="O4" i="10"/>
  <c r="Q4" i="10" s="1"/>
  <c r="N4" i="10"/>
  <c r="J4" i="10"/>
  <c r="I4" i="10"/>
  <c r="N4" i="8"/>
  <c r="I4" i="8"/>
  <c r="O4" i="8" s="1"/>
  <c r="Q4" i="8" s="1"/>
  <c r="H8" i="5"/>
  <c r="H7" i="7"/>
  <c r="H9" i="7"/>
  <c r="F37" i="6"/>
  <c r="F39" i="6" s="1"/>
  <c r="J4" i="8" l="1"/>
  <c r="H4" i="9" l="1"/>
  <c r="F4" i="9" l="1"/>
  <c r="N4" i="9" s="1"/>
  <c r="I4" i="9" l="1"/>
  <c r="O4" i="9" s="1"/>
  <c r="Q4" i="9" s="1"/>
  <c r="H10" i="3" l="1"/>
  <c r="B1" i="4"/>
  <c r="B1" i="2"/>
  <c r="C4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34" authorId="0" shapeId="0" xr:uid="{9075737F-F480-47C2-86F9-EA30BD15642C}">
      <text>
        <r>
          <rPr>
            <b/>
            <sz val="12"/>
            <color indexed="81"/>
            <rFont val="Tahoma"/>
            <family val="2"/>
          </rPr>
          <t xml:space="preserve">پرداخت به حاجی 20 تومن به اوستا مهدی و سایر
</t>
        </r>
        <r>
          <rPr>
            <sz val="9"/>
            <color indexed="81"/>
            <rFont val="Tahoma"/>
          </rPr>
          <t xml:space="preserve">
</t>
        </r>
        <r>
          <rPr>
            <sz val="14"/>
            <color indexed="81"/>
            <rFont val="Tahoma"/>
            <family val="2"/>
          </rPr>
          <t>بخشی از پرداخت 149 میلیون حاجی</t>
        </r>
      </text>
    </comment>
    <comment ref="I35" authorId="0" shapeId="0" xr:uid="{E989C615-494F-4FC0-A354-F21FC5DDF986}">
      <text>
        <r>
          <rPr>
            <b/>
            <sz val="12"/>
            <color indexed="81"/>
            <rFont val="Tahoma"/>
            <family val="2"/>
          </rPr>
          <t>بابت 3 درصد زمین 352500000هیات امنا
بابت 15 درصد خرید آهن 204000000 
بابت 15 درصد کمیسیون حیدری 75000000
جمعا 591500000 
500 میلیون بابت مبلغ زمین حمیده احمدی حساب شد
91500000 تومان بابت زمین مشترک با فاطمه یزدی</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5" authorId="0" shapeId="0" xr:uid="{89100C0D-C2A5-4CE8-9639-0292687ACFB4}">
      <text>
        <r>
          <rPr>
            <b/>
            <sz val="12"/>
            <color indexed="81"/>
            <rFont val="Tahoma"/>
            <family val="2"/>
          </rPr>
          <t xml:space="preserve">پرداخت به حاجی 20 تومن به اوستا مهدی و سایر
</t>
        </r>
        <r>
          <rPr>
            <sz val="9"/>
            <color indexed="81"/>
            <rFont val="Tahoma"/>
          </rPr>
          <t xml:space="preserve">
</t>
        </r>
        <r>
          <rPr>
            <sz val="14"/>
            <color indexed="81"/>
            <rFont val="Tahoma"/>
            <family val="2"/>
          </rPr>
          <t>بخشی از پرداخت 149 میلیون حاجی</t>
        </r>
      </text>
    </comment>
    <comment ref="H6" authorId="0" shapeId="0" xr:uid="{737C1B0A-9F3F-4BEE-B060-81099A36E746}">
      <text>
        <r>
          <rPr>
            <b/>
            <sz val="12"/>
            <color indexed="81"/>
            <rFont val="Tahoma"/>
            <family val="2"/>
          </rPr>
          <t>بابت 3 درصد زمین 352500000هیات امنا
بابت 15 درصد خرید آهن 204000000 
بابت 15 درصد کمیسیون حیدری 75000000
جمعا 591500000 
500 میلیون بابت مبلغ زمین حمیده احمدی حساب شد
91500000 تومان بابت زمین مشترک با فاطمه یزدی</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Baba</author>
    <author>Author</author>
  </authors>
  <commentList>
    <comment ref="F4" authorId="0" shapeId="0" xr:uid="{7D190196-3909-4EB7-B0B9-01A61FDE1794}">
      <text>
        <r>
          <rPr>
            <b/>
            <sz val="9"/>
            <color indexed="81"/>
            <rFont val="Tahoma"/>
          </rPr>
          <t>واریز 285 میلیون 135میلیون برای نرگس حاجی قاسمی لحاظ شد</t>
        </r>
        <r>
          <rPr>
            <sz val="9"/>
            <color indexed="81"/>
            <rFont val="Tahoma"/>
          </rPr>
          <t xml:space="preserve">
</t>
        </r>
      </text>
    </comment>
    <comment ref="F6" authorId="1" shapeId="0" xr:uid="{973DE232-DCFA-4057-B391-E5C2F19E86CA}">
      <text>
        <r>
          <rPr>
            <b/>
            <sz val="12"/>
            <color indexed="81"/>
            <rFont val="Tahoma"/>
            <family val="2"/>
          </rPr>
          <t>بابت 3 درصد زمین 352500000هیات امنا
بابت 15 درصد خرید آهن 204000000 
بابت 15 درصد کمیسیون حیدری 75000000
جمعا 591500000 
500 میلیون بابت مبلغ زمین نرگس پرویز زاده حساب شد
91500000 تومان بابت زمین مشترک با نرگس حاجی قاسمی</t>
        </r>
        <r>
          <rPr>
            <sz val="12"/>
            <color indexed="81"/>
            <rFont val="Tahoma"/>
            <family val="2"/>
          </rPr>
          <t xml:space="preserve">
</t>
        </r>
      </text>
    </comment>
    <comment ref="F7" authorId="0" shapeId="0" xr:uid="{3FFAC746-DAA1-46D7-87B4-92E8D0B9451A}">
      <text>
        <r>
          <rPr>
            <b/>
            <sz val="9"/>
            <color indexed="81"/>
            <rFont val="Tahoma"/>
          </rPr>
          <t>واریز 100 میلیون پنجاه میلیون برای سهم چهار نفره</t>
        </r>
        <r>
          <rPr>
            <sz val="9"/>
            <color indexed="81"/>
            <rFont val="Tahoma"/>
          </rPr>
          <t xml:space="preserve">
</t>
        </r>
      </text>
    </comment>
    <comment ref="F8" authorId="1" shapeId="0" xr:uid="{7C58AFD3-FC8B-42A9-B113-5FC9E6583334}">
      <text>
        <r>
          <rPr>
            <sz val="9"/>
            <color indexed="81"/>
            <rFont val="Tahoma"/>
          </rPr>
          <t xml:space="preserve">
</t>
        </r>
        <r>
          <rPr>
            <sz val="14"/>
            <color indexed="81"/>
            <rFont val="Tahoma"/>
            <family val="2"/>
          </rPr>
          <t>بخشی از پرداخت 149 میلیون حاجی</t>
        </r>
      </text>
    </comment>
    <comment ref="F23" authorId="0" shapeId="0" xr:uid="{78A7FD58-326E-4DEA-8404-513E0EC1D38A}">
      <text>
        <r>
          <rPr>
            <b/>
            <sz val="9"/>
            <color indexed="81"/>
            <rFont val="Tahoma"/>
          </rPr>
          <t>واریز 285 میلیون 150میلیون برای هاشم حاجی قاسمی لحاظ شد</t>
        </r>
        <r>
          <rPr>
            <sz val="9"/>
            <color indexed="81"/>
            <rFont val="Tahoma"/>
          </rPr>
          <t xml:space="preserve">
</t>
        </r>
      </text>
    </comment>
    <comment ref="F26" authorId="1" shapeId="0" xr:uid="{526B1DDC-7995-43F1-8639-9298AA3C8805}">
      <text>
        <r>
          <rPr>
            <sz val="9"/>
            <color indexed="81"/>
            <rFont val="Tahoma"/>
          </rPr>
          <t xml:space="preserve">
</t>
        </r>
        <r>
          <rPr>
            <sz val="14"/>
            <color indexed="81"/>
            <rFont val="Tahoma"/>
            <family val="2"/>
          </rPr>
          <t>بخشی از پرداخت 149 میلیون حاجی</t>
        </r>
      </text>
    </comment>
    <comment ref="F35" authorId="0" shapeId="0" xr:uid="{3B7E2355-B4C1-4515-84A9-3F8969878C95}">
      <text>
        <r>
          <rPr>
            <b/>
            <sz val="9"/>
            <color indexed="81"/>
            <rFont val="Tahoma"/>
          </rPr>
          <t>واریز 100 میلیون پنجاه  میلیون برای مشترک با نرگس</t>
        </r>
        <r>
          <rPr>
            <sz val="9"/>
            <color indexed="81"/>
            <rFont val="Tahoma"/>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5" authorId="0" shapeId="0" xr:uid="{E013A6B3-A201-4B7B-9333-37D23F1AD051}">
      <text>
        <r>
          <rPr>
            <b/>
            <sz val="14"/>
            <color indexed="81"/>
            <rFont val="Tahoma"/>
            <family val="2"/>
          </rPr>
          <t>بابت 3 درصد زمین 352500000هیات امنا
بابت 15 درصد خرید آهن 204000000 
بابت 15 درصد کمیسیون حیدری 75000000
جمعا 591500000 
500 میلیون بابت مبلغ زمین حمیده احمدی حساب شد
91500000 تومان بابت زمین مشترک با فاطمه یزدی</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7" authorId="0" shapeId="0" xr:uid="{82BCDDB9-D6BD-422E-9112-0FB0A7838506}">
      <text>
        <r>
          <rPr>
            <b/>
            <sz val="14"/>
            <color indexed="81"/>
            <rFont val="Tahoma"/>
            <family val="2"/>
          </rPr>
          <t>بابت 3 درصد زمین 352500000هیات امنا
بابت 15 درصد خرید آهن 204000000 
بابت 15 درصد کمیسیون حیدری 75000000
جمعا 591500000 
500 میلیون بابت مبلغ زمین نرگس پرویز زاده حساب شد
91500000 تومان بابت زمین مشترک با نرگس حاجی قاسمی</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Baba</author>
  </authors>
  <commentList>
    <comment ref="H4" authorId="0" shapeId="0" xr:uid="{2338FEBA-641C-4481-9F69-D468FC86882A}">
      <text>
        <r>
          <rPr>
            <b/>
            <sz val="9"/>
            <color indexed="81"/>
            <rFont val="Tahoma"/>
          </rPr>
          <t>واریز 285 میلیون 150میلیون برای هاشم حاجی قاسمی لحاظ شد</t>
        </r>
        <r>
          <rPr>
            <sz val="9"/>
            <color indexed="81"/>
            <rFont val="Tahoma"/>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4" authorId="0" shapeId="0" xr:uid="{79F786D7-5E92-401F-8AF2-1DA644CECC4C}">
      <text>
        <r>
          <rPr>
            <b/>
            <sz val="9"/>
            <color indexed="81"/>
            <rFont val="Tahoma"/>
            <family val="2"/>
          </rPr>
          <t>از واریزیهای محبی به حساب اعظم خوانین زاده</t>
        </r>
        <r>
          <rPr>
            <sz val="9"/>
            <color indexed="81"/>
            <rFont val="Tahoma"/>
            <family val="2"/>
          </rPr>
          <t xml:space="preserve">
</t>
        </r>
      </text>
    </comment>
    <comment ref="M4" authorId="0" shapeId="0" xr:uid="{B1270176-A010-4FD0-99F4-ACBD42A7FB6A}">
      <text>
        <r>
          <rPr>
            <b/>
            <sz val="9"/>
            <color indexed="81"/>
            <rFont val="Tahoma"/>
            <family val="2"/>
          </rPr>
          <t>از واریزیهای محبی به حساب اعظم خوانین زاده</t>
        </r>
        <r>
          <rPr>
            <sz val="9"/>
            <color indexed="81"/>
            <rFont val="Tahoma"/>
            <family val="2"/>
          </rPr>
          <t xml:space="preserve">
</t>
        </r>
      </text>
    </comment>
  </commentList>
</comments>
</file>

<file path=xl/sharedStrings.xml><?xml version="1.0" encoding="utf-8"?>
<sst xmlns="http://schemas.openxmlformats.org/spreadsheetml/2006/main" count="1536" uniqueCount="501">
  <si>
    <t>ردیف</t>
  </si>
  <si>
    <t>نام و نام خانوادگی</t>
  </si>
  <si>
    <t>میزان سهم</t>
  </si>
  <si>
    <t xml:space="preserve"> فاطمه یزدی</t>
  </si>
  <si>
    <t>ابوالفضل بلندیان</t>
  </si>
  <si>
    <t xml:space="preserve">محسن پویا </t>
  </si>
  <si>
    <t>هاشم حاجی قاسمی</t>
  </si>
  <si>
    <t>نرگس حاجی قاسمی</t>
  </si>
  <si>
    <t>یوسف حاجی قاسمی</t>
  </si>
  <si>
    <t xml:space="preserve"> اعظم خوانین زاده</t>
  </si>
  <si>
    <t xml:space="preserve">هاشم حاجی قاسمی </t>
  </si>
  <si>
    <t xml:space="preserve"> ابوالفضل بلندیان</t>
  </si>
  <si>
    <t>هادی مرادی-اکبرنیا</t>
  </si>
  <si>
    <t>مرتضی دزفولیان</t>
  </si>
  <si>
    <t>امید علی حیدری</t>
  </si>
  <si>
    <t>حمیده احمدی</t>
  </si>
  <si>
    <t>زهرا کریمی دهکردی</t>
  </si>
  <si>
    <t>نرجس خسروی</t>
  </si>
  <si>
    <t>مریم خسروی</t>
  </si>
  <si>
    <t>کاظم عبدالهی</t>
  </si>
  <si>
    <t>مهدی آذری</t>
  </si>
  <si>
    <t>حمیدرضا ده بزرگی</t>
  </si>
  <si>
    <t>جواد غفوری</t>
  </si>
  <si>
    <t>رضا علی نژاد</t>
  </si>
  <si>
    <t>محمد نظری فر</t>
  </si>
  <si>
    <t>جواد هاشمی</t>
  </si>
  <si>
    <t>مرتضی محبی</t>
  </si>
  <si>
    <t xml:space="preserve">مهرداد کشاورز </t>
  </si>
  <si>
    <t>سعید شیری</t>
  </si>
  <si>
    <t>نرگس پرویز زاده</t>
  </si>
  <si>
    <t>معصومه یوسفی</t>
  </si>
  <si>
    <t>سید محمد حسینی</t>
  </si>
  <si>
    <t>خسرو رمضانی(زهرا فیض)</t>
  </si>
  <si>
    <t>شمس الملوک علی آبادی</t>
  </si>
  <si>
    <t>محمد مرادی-موسی مرادی</t>
  </si>
  <si>
    <t>عبدالناصر یوسف زاده</t>
  </si>
  <si>
    <t>مجید خاکساران</t>
  </si>
  <si>
    <t>ابراهیم شمس</t>
  </si>
  <si>
    <t>جمع</t>
  </si>
  <si>
    <t>لیلا کریمی دهکردی</t>
  </si>
  <si>
    <t>تاریخ</t>
  </si>
  <si>
    <t>شرح سند</t>
  </si>
  <si>
    <t>شماره سند</t>
  </si>
  <si>
    <t>شماره برگه/چک</t>
  </si>
  <si>
    <t>شناسه واریز</t>
  </si>
  <si>
    <t>شعبه</t>
  </si>
  <si>
    <t>واریز (ریال)</t>
  </si>
  <si>
    <t>برداشت (ریال)</t>
  </si>
  <si>
    <t>مانده (ریال)</t>
  </si>
  <si>
    <t>توضیحات کاربر</t>
  </si>
  <si>
    <t>بابت واریز پایا۱۴۰۳۰۸۱۳۰۷۰۲۲۸۴۴۳۹از مجیدرضا اله وردی از حسابIR۱۶۰۷۰۰۰۰۱۰۰۰۱۱۲۷۶۰۶۵۵۰۰۱</t>
  </si>
  <si>
    <t>مديريت حسابداري و خزانه داري-۴۷۵</t>
  </si>
  <si>
    <t>مجیدرضا اله  وردی</t>
  </si>
  <si>
    <t>بابت واریز پایا۱۴۰۳۰۸۱۴۰۶۲۲۷۹۰۳۴۱از مجیدرضا اله  وردی از حسابIR۸۵۰۶۲۰۰۰۰۰۰۰۳۰۱۵۴۳۷۵۹۰۰۶</t>
  </si>
  <si>
    <t>۱۴۰۳/۰۸/۱۵ | ۱۹:۱۲</t>
  </si>
  <si>
    <t>بابت واریز پایا۱۴۰۳۰۸۱۵۰۶۲۲۸۳۱۰۳۹از مجیدرضا اله  وردی از حسابIR۸۵۰۶۲۰۰۰۰۰۰۰۳۰۱۵۴۳۷۵۹۰۰۶</t>
  </si>
  <si>
    <t>۱۴۰۳/۰۸/۱۹ | ۱۴:۱۰</t>
  </si>
  <si>
    <t>بابت واریز پایا۱۴۰۳۰۸۱۹۰۶۲۲۰۵۴۸۱۳از مجیدرضا اله  وردی از حسابIR۸۵۰۶۲۰۰۰۰۰۰۰۳۰۱۵۴۳۷۵۹۰۰۶</t>
  </si>
  <si>
    <t>بانک/حساب</t>
  </si>
  <si>
    <t>سامان/نیل قاز</t>
  </si>
  <si>
    <t/>
  </si>
  <si>
    <t>کد شعبه</t>
  </si>
  <si>
    <t>ساعت</t>
  </si>
  <si>
    <t>سند</t>
  </si>
  <si>
    <t>شماره قبض</t>
  </si>
  <si>
    <t>توضیحات</t>
  </si>
  <si>
    <t>برداشت</t>
  </si>
  <si>
    <t>واریز</t>
  </si>
  <si>
    <t>مانده</t>
  </si>
  <si>
    <t>یادداشت</t>
  </si>
  <si>
    <t>تراکنش 246</t>
  </si>
  <si>
    <t>1</t>
  </si>
  <si>
    <t>ستاد</t>
  </si>
  <si>
    <t>1403/09/13</t>
  </si>
  <si>
    <t>11:53:06</t>
  </si>
  <si>
    <t>8641792207</t>
  </si>
  <si>
    <t>سند واریز پایا - داخلی با شماره پیگیری 140309130702985724 شبای مقصد IR840700001000119411652001 شناسه واریز  و شرح ارسال پایا از طریق بانکداری دیجیتال	شرح مبدا:	شرح مقصد:امور درمانی_سند واریز پایا - داخلی با شماره پیگیری 140309130702985724</t>
  </si>
  <si>
    <t>فاطمه یزدی</t>
  </si>
  <si>
    <t>واریز زمین</t>
  </si>
  <si>
    <t>1403/10/15</t>
  </si>
  <si>
    <t>10:43:48</t>
  </si>
  <si>
    <t>8929348197</t>
  </si>
  <si>
    <t>سند واریز پایا - داخلی با شماره پیگیری 140310150702595216 شبای مقصد IR840700001000119411652001 شناسه واریز  و شرح ارسال پایا از طریق بانکداری دیجیتال	شرح مبدا:	شرح مقصد:امور درمانی_سند واریز پایا - داخلی با شماره پیگیری 140310150702595216</t>
  </si>
  <si>
    <t>۱۴۰۳/۰۸/۲۴ | ۰۸:۲۸</t>
  </si>
  <si>
    <t>واریز ساتنا ۰۳۰۸۲۴۰۵۴۱۰۰۰۳۹۴ازطرف  بلندیان کاشیاز شباIR۶۴۰۵۴۰۱۰۸۶۸۰۰۰۰۳۲۱۳۲۹۰۰۳ش م۰</t>
  </si>
  <si>
    <t>قسط زمین</t>
  </si>
  <si>
    <t>رسالت/کریم پور</t>
  </si>
  <si>
    <t>۱۴۰۳/۱۱/۰۴ | ۰۸:۵۵</t>
  </si>
  <si>
    <t>واریز ساتنا ۰۳۱۱۰۴۰۵۴۱۰۰۰۵۴۵ازطرف  بلندیان کاشیاز شباIR۶۴۰۵۴۰۱۰۸۶۸۰۰۰۰۳۲۱۳۲۹۰۰۳ش م۰</t>
  </si>
  <si>
    <t>۱۰۷۷۸۵۲۵</t>
  </si>
  <si>
    <t xml:space="preserve">پیش خرید </t>
  </si>
  <si>
    <t>پیش خرید</t>
  </si>
  <si>
    <t>۱۴۰۳/۱۱/۰۴ | ۱۱:۱۲</t>
  </si>
  <si>
    <t>بابت واریز پایا۱۴۰۳۱۱۰۴۰۵۴۲۰۰۰۱۷۹۳۳از بلندیان کاشی*ابوالفضل از حسابIR۶۴۰۵۴۰۱۰۸۶۸۰۰۰۰۳۲۱۳۲۹۰۰۳</t>
  </si>
  <si>
    <t>۱۰۷۸۶۹۴۹</t>
  </si>
  <si>
    <t>۱۴۰۳/۱۱/۰۴ | ۱۵:۵۹</t>
  </si>
  <si>
    <t xml:space="preserve"> ش چک  /۷۰۹۶۱/۴۲۸۴۸۵ بانک عهده پارسیان ش رهگیری  ۰۳۱۱۰۳۰۵۶۴۰۰۷۵۲۳</t>
  </si>
  <si>
    <t>۱۰۸۰۶۹۲۰</t>
  </si>
  <si>
    <t>/۷۰۹۶۱/۴۲۸۴۸۵</t>
  </si>
  <si>
    <t>۰۳۱۱۰۳۰۵۶۴۰۰۷۵۲۳</t>
  </si>
  <si>
    <t>اداره پاياپاي-۸۹۸</t>
  </si>
  <si>
    <t>۱۴۰۳/۱۱/۰۶ | ۰۷:۴۶</t>
  </si>
  <si>
    <t>واریز ساتنا ۰۳۱۱۰۶۰۵۴۱۰۰۰۰۷۷ازطرف  بلندیان کاشیاز شباIR۶۴۰۵۴۰۱۰۸۶۸۰۰۰۰۳۲۱۳۲۹۰۰۳ش م۰</t>
  </si>
  <si>
    <t>۱۰۸۹۵۵۹۵</t>
  </si>
  <si>
    <t>۱۴۰۳/۱۱/۰۶ | ۱۱:۱۴</t>
  </si>
  <si>
    <t>بابت واریز پایا۱۴۰۳۱۱۰۶۰۵۴۲۰۰۰۲۲۵۳۲از بلندیان کاشی*ابوالفضل از حسابIR۶۴۰۵۴۰۱۰۸۶۸۰۰۰۰۳۲۱۳۲۹۰۰۳</t>
  </si>
  <si>
    <t>۱۰۹۰۹۲۳۳</t>
  </si>
  <si>
    <t>شماره چک</t>
  </si>
  <si>
    <t>1403/10/11</t>
  </si>
  <si>
    <t>14:10</t>
  </si>
  <si>
    <t>‎1-1403-10-IRR-8894880455</t>
  </si>
  <si>
    <t>‎</t>
  </si>
  <si>
    <t>واریز پایا IRR,0054569109_واریز پایا بابت شماره پیگیری 14031011054200064769 از بانک پارسيان شعبه 5499999 توسط بلندیان کاشی ابوالفضل</t>
  </si>
  <si>
    <t>بلندیان کاشی ابوالفضل</t>
  </si>
  <si>
    <t>واریز جواز یک</t>
  </si>
  <si>
    <t>19:05</t>
  </si>
  <si>
    <t>‎1-1403-10-IRR-8892306497</t>
  </si>
  <si>
    <t>واریز پایا IRR,0054569109_واریز پایا بابت شماره پیگیری 14031011054200065795 از بانک پارسيان شعبه 5499999 توسط بلندیان کاشی ابوالفضل</t>
  </si>
  <si>
    <t>‎1-1403-10-IRR-8892308386</t>
  </si>
  <si>
    <t>واریز پایا IRR,0054569109_واریز پایا بابت شماره پیگیری 14031011054200065634 از بانک پارسيان شعبه 5499999 توسط بلندیان کاشی ابوالفضل</t>
  </si>
  <si>
    <t>1403/10/18</t>
  </si>
  <si>
    <t>11:02</t>
  </si>
  <si>
    <t>‎1-1403-10-IRR-8956437323</t>
  </si>
  <si>
    <t>واریز پایا IRR,0054569109_واریز پایا بابت شماره پیگیری 14031018054200016888 از بانک پارسيان شعبه 5499999 توسط بلندیان کاشی ابوالفضل</t>
  </si>
  <si>
    <t>ابوالفضل بلندیان بابت قسط زمین  حمیده احمدی</t>
  </si>
  <si>
    <t>1403/10/19</t>
  </si>
  <si>
    <t>16:51</t>
  </si>
  <si>
    <t>‎1-1403-10-IRR-8968987782</t>
  </si>
  <si>
    <t>cheque-settlement-with-stmt269278101352</t>
  </si>
  <si>
    <t xml:space="preserve">‎0206/673027 </t>
  </si>
  <si>
    <t>واریز بابت وصول چک  0206/673027 صادر از شعبه دهخدا بانک ملي_سند وصول چک عادی عهده سایر بانکها به شماره 0206/673027 بانک ملي در تاریخ 1403/10/19</t>
  </si>
  <si>
    <t>1403/11/14</t>
  </si>
  <si>
    <t>14:03:02</t>
  </si>
  <si>
    <t>9189942068</t>
  </si>
  <si>
    <t>واریز پایا IRR,0054569109_واریز پایا بابت شماره پیگیری 14031114054200049284 از بانک پارسيان شعبه 5499999 توسط بلندیان کاشی ابوالفضل</t>
  </si>
  <si>
    <t>ابوالفضل بلندیان بابت قسط مشترک  حاجی</t>
  </si>
  <si>
    <t>واریز جواز دو</t>
  </si>
  <si>
    <t>14:04:52</t>
  </si>
  <si>
    <t>9189948576</t>
  </si>
  <si>
    <t>واریز پایا IRR,0054569109_واریز پایا بابت شماره پیگیری 14031114054200048871 از بانک پارسيان شعبه 5499999 توسط بلندیان کاشی ابوالفضل</t>
  </si>
  <si>
    <t>ابوالفضل بلندیان بابت قسط مشترک  یزدی</t>
  </si>
  <si>
    <t>996</t>
  </si>
  <si>
    <t>بانکداری مدرن</t>
  </si>
  <si>
    <t>1403/12/13</t>
  </si>
  <si>
    <t>995</t>
  </si>
  <si>
    <t>کارت</t>
  </si>
  <si>
    <t>1403/12/15</t>
  </si>
  <si>
    <t>11:12:30</t>
  </si>
  <si>
    <t>9469365704</t>
  </si>
  <si>
    <t>واریز پایا IRR,0054569109_واریز پایا بابت شماره پیگیری 14031215054200010096 از بانک پارسيان شعبه 5499999 توسط بلندیان کاشی ابوالفضل</t>
  </si>
  <si>
    <t>واریز جواز سه</t>
  </si>
  <si>
    <t>1404/01/15</t>
  </si>
  <si>
    <t>14:39:31</t>
  </si>
  <si>
    <t>9762988690</t>
  </si>
  <si>
    <t>واریز پایا IRR,0054569109_واریز پایا بابت شماره پیگیری 14040114054200032540 از بانک پارسيان شعبه 5499999 توسط بلندیان کاشی ابوالفضل</t>
  </si>
  <si>
    <t>واریز جواز چهار</t>
  </si>
  <si>
    <t>14:39:34</t>
  </si>
  <si>
    <t>9759907199</t>
  </si>
  <si>
    <t>واریز پایا IRR,0054569109_واریز پایا بابت شماره پیگیری 14040114054200032460 از بانک پارسيان شعبه 5499999 توسط بلندیان کاشی ابوالفضل</t>
  </si>
  <si>
    <t>11:40:51</t>
  </si>
  <si>
    <t>9186715487</t>
  </si>
  <si>
    <t>انتقال وجه از سپرده 10.9425002.1 - هیات امنا 246 هاشم حاجی قاسمی توسط  همايون بلنديان کاشي_سامانه اینترنت بانک</t>
  </si>
  <si>
    <t>قسط جواز 2</t>
  </si>
  <si>
    <t>09:42:26</t>
  </si>
  <si>
    <t>9451695282</t>
  </si>
  <si>
    <t>انتقال وجه از سپرده 10.9425002.1 - هیات امنا حق الزحمه هاشم حاجی قاسمی توسط  همايون بلنديان کاشي_سامانه اینترنت بانک</t>
  </si>
  <si>
    <t>قسط جواز3</t>
  </si>
  <si>
    <t>رسالت/همایون</t>
  </si>
  <si>
    <t>14:41:07</t>
  </si>
  <si>
    <t>9762995163</t>
  </si>
  <si>
    <t>واریز پایا IRR,0054569109_واریز پایا بابت شماره پیگیری 14040114054200032062 از بانک پارسيان شعبه 5499999 توسط بلندیان کاشی ابوالفضل</t>
  </si>
  <si>
    <t>پرداخت به حاجی 20 تومن به اوستا مهدی و سایر</t>
  </si>
  <si>
    <t>جمع واریزی تا تاریخ 1404/02/03</t>
  </si>
  <si>
    <t>مبلغ سه دانگ  سهم</t>
  </si>
  <si>
    <t xml:space="preserve">بدهی بابت زمین </t>
  </si>
  <si>
    <t>بابت 3 درصد زمین 352500000هیات امنا  بابت 15 درصد خرید آهن 204000000  بابت 15 درصد کمیسیون حیدری 75000000 جمعا 591500000   500 میلیون بابت مبلغ زمین حمیده احمدی حساب شد 91500000 تومان بابت زمین مشترک با فاطمه یزدی</t>
  </si>
  <si>
    <t>سهم مشترک با خانم یزدی-زمین</t>
  </si>
  <si>
    <t>سهم مشترک با حاجی و سایر</t>
  </si>
  <si>
    <t>واریزی</t>
  </si>
  <si>
    <t>مبلغ 1/5 دانگ سهم</t>
  </si>
  <si>
    <t>1403/12/14</t>
  </si>
  <si>
    <t>11:53:30</t>
  </si>
  <si>
    <t>9460493323</t>
  </si>
  <si>
    <t>رسالت/ همایون</t>
  </si>
  <si>
    <t>انتقال وجه از سپرده 10.9425002.1 - هیات امنا حق الزحمه ابوالفضل بلندیان توسط  همايون بلنديان کاشي_سامانه اینترنت بانک</t>
  </si>
  <si>
    <t>رسالت/ کریمپور</t>
  </si>
  <si>
    <t>۱۴۰۳/۰۸/۲۶ | ۰۸:۰۵</t>
  </si>
  <si>
    <t xml:space="preserve">واریز ساتنا ۰۳۰۸۲۶۰۱۹۱۷۹۵۶۳۳ازطرف  پرویززادهاز شباIR۳۱۰۱۹۰۰۰۰۰۰۰۲۱۳۴۱۶۹۳۶۰۰۷ش م </t>
  </si>
  <si>
    <t>پرویززاده</t>
  </si>
  <si>
    <t>سهم مشترک با هاشم</t>
  </si>
  <si>
    <t>۱۴۰۳/۰۸/۲۶ | ۰۷:۴۰</t>
  </si>
  <si>
    <t xml:space="preserve">واریز ساتنا ۰۳۰۸۲۶۰۱۹۱۷۹۳۸۹۵ازطرف  حاجی  قاسمیاز شباIR۹۶۰۱۹۰۰۰۰۰۰۰۲۱۸۹۱۰۶۷۳۰۰۹ش م </t>
  </si>
  <si>
    <t>بابت 3 درصد زمین 352500000هیات امنا بابت 15 درصد خرید آهن 204000000  بابت 15 درصد کمیسیون حیدری 75000000 جمعا 591500000  500 میلیون بابت مبلغ زمین نرگس پرویز زاده حساب شد 91500000 تومان بابت زمین مشترک با نرگس حاجی قاسمی</t>
  </si>
  <si>
    <t>هیات امنا</t>
  </si>
  <si>
    <t>سهم مشترک با نرگس حاجی قاسمی</t>
  </si>
  <si>
    <t>سهم مشترک با بلندیان و سایر</t>
  </si>
  <si>
    <t>9183659084</t>
  </si>
  <si>
    <t>واریز پایا IRR,0070646767_واریز پایا بابت شماره پیگیری 140311140172717836 از بانک ملي شعبه 1700251 توسط هاشم حاجی  قاسمی</t>
  </si>
  <si>
    <t>قسط زمین 4 نفره</t>
  </si>
  <si>
    <t>1404/02/10</t>
  </si>
  <si>
    <t>9996134554</t>
  </si>
  <si>
    <t>واریز پایا IRR,0040517837_واریز پایا بابت شماره پیگیری 140402100192488897 از بانک صادرات شعبه 1900013 توسط صدیقه حاجی  قاسمی</t>
  </si>
  <si>
    <t>9993097324</t>
  </si>
  <si>
    <t>واریز پایا IRR,0040517837_واریز پایا بابت شماره پیگیری 140402100192474264 از بانک صادرات شعبه 1900013 توسط صدیقه حاجی  قاسمی</t>
  </si>
  <si>
    <t>۱۴۰۳/۰۸/۲۶ | ۰۸:۳۸</t>
  </si>
  <si>
    <t xml:space="preserve">واریز ساتنا ۰۳۰۸۲۶۰۱۹۱۷۹۸۰۴۰ازطرف  پرویززادهاز شباIR۳۱۰۱۹۰۰۰۰۰۰۰۲۱۳۴۱۶۹۳۶۰۰۷ش م </t>
  </si>
  <si>
    <t>1403/12/25</t>
  </si>
  <si>
    <t>9568393167</t>
  </si>
  <si>
    <t>واریز پایا IRR,0040517837_واریز پایا بابت شماره پیگیری 140312250192256312 از بانک صادرات شعبه 1900013 توسط صدیقه حاجی  قاسمی</t>
  </si>
  <si>
    <t>صدیقه حاجی  قاسمی</t>
  </si>
  <si>
    <t xml:space="preserve">واریز ساتنا ۰۳۰۸۲۶۰۱۹۱۷۹۴۳۰۸ازطرف  پرویززادهاز شباIR۳۱۰۱۹۰۰۰۰۰۰۰۲۱۳۴۱۶۹۳۶۰۰۷ش م </t>
  </si>
  <si>
    <t>پرویززاده برای  سهم زمین یوسف حاجی قاسمی لحاظ شد</t>
  </si>
  <si>
    <t>هادی مرادی</t>
  </si>
  <si>
    <t>اعظم خوانین زاده</t>
  </si>
  <si>
    <t>سیما صالح</t>
  </si>
  <si>
    <t>سیما صالح ضامنجانی</t>
  </si>
  <si>
    <t>لیلا کریمی دهگردی</t>
  </si>
  <si>
    <t>بهاره خسروی</t>
  </si>
  <si>
    <t>چگینی</t>
  </si>
  <si>
    <t>مبلغ سهم</t>
  </si>
  <si>
    <t>نوع پرداخت</t>
  </si>
  <si>
    <t>پرداخت اول</t>
  </si>
  <si>
    <t>پرداخت  دوم</t>
  </si>
  <si>
    <t>پرداخت 550 میلیون</t>
  </si>
  <si>
    <t>کسری واریز 550 میلیون</t>
  </si>
  <si>
    <t>پرداخت سوم</t>
  </si>
  <si>
    <t>جمع پرداخت اول و دوم و سوم</t>
  </si>
  <si>
    <t>پرداختی زمین</t>
  </si>
  <si>
    <t xml:space="preserve">پرداخت </t>
  </si>
  <si>
    <t>کسری پرداخت زمین</t>
  </si>
  <si>
    <t>حساب کریمپور</t>
  </si>
  <si>
    <t>چک</t>
  </si>
  <si>
    <t>چک- نیل قاز</t>
  </si>
  <si>
    <t>حواله -فاطمه کریم پور</t>
  </si>
  <si>
    <t>کریمپور- نیل قاز</t>
  </si>
  <si>
    <t>نیل قاز/سامان</t>
  </si>
  <si>
    <t>رسالت/کریمپور</t>
  </si>
  <si>
    <t>هیات امنا بلندیان</t>
  </si>
  <si>
    <t>۱۴۰۳/۰۸/۱۳</t>
  </si>
  <si>
    <t>۱۴۰۳/۰۸/۱۵</t>
  </si>
  <si>
    <t>۱۴۰۳/۰۸/۱۹</t>
  </si>
  <si>
    <t xml:space="preserve"> ۱۴:۰۹</t>
  </si>
  <si>
    <t>۱۴۰۳/۰۸/۱۴ | ۱۴:۱۳</t>
  </si>
  <si>
    <t>بابت واریز پایا۱۴۰۳۰۸۱۴۰۷۰۲۳۹۰۶۴۰از امید علی حیدری از حسابIR۳۹۰۷۰۰۰۰۱۰۰۰۱۱۴۵۴۶۰۶۲۰۰۱</t>
  </si>
  <si>
    <t>مید علی حیدری</t>
  </si>
  <si>
    <t>۱۴۰۳/۰۸/۱۵ | ۰۴:۲۷</t>
  </si>
  <si>
    <t>بابت واریز پایا۱۴۰۳۰۸۱۴۰۷۰۲۴۲۰۴۷۰از امید علی حیدری از حسابIR۳۹۰۷۰۰۰۰۱۰۰۰۱۱۴۵۴۶۰۶۲۰۰۱</t>
  </si>
  <si>
    <t>بابت واریز پایا۱۴۰۳۰۸۱۵۰۷۰۲۴۹۳۵۰۴از امید علی حیدری از حسابIR۳۹۰۷۰۰۰۰۱۰۰۰۱۱۴۵۴۶۰۶۲۰۰۱</t>
  </si>
  <si>
    <t>۱۴۰۳/۰۸/۱۷ | ۱۵:۳۹</t>
  </si>
  <si>
    <t>بابت واریز پایا۱۴۰۳۰۸۱۷۰۷۰۲۶۴۷۴۳۷از امید علی حیدری از حسابIR۳۹۰۷۰۰۰۰۱۰۰۰۱۱۴۵۴۶۰۶۲۰۰۱</t>
  </si>
  <si>
    <t>بابت واریز پایا۱۴۰۳۰۸۱۹۰۷۰۲۷۶۳۲۶۱از امید علی حیدری از حسابIR۳۹۰۷۰۰۰۰۱۰۰۰۱۱۴۵۴۶۰۶۲۰۰۱</t>
  </si>
  <si>
    <t>۱۴۰۳/۰۸/۲۰ | ۱۹:۱۱</t>
  </si>
  <si>
    <t>بابت واریز پایا۱۴۰۳۰۸۲۰۰۷۰۲۸۹۳۹۹۸از امید علی حیدری از حسابIR۳۹۰۷۰۰۰۰۱۰۰۰۱۱۴۵۴۶۰۶۲۰۰۱</t>
  </si>
  <si>
    <t>1403/09/16</t>
  </si>
  <si>
    <t>14:45:32</t>
  </si>
  <si>
    <t>8678044327</t>
  </si>
  <si>
    <t>واریز پایا IRR,0055598129_واریز پایا بابت شماره پیگیری 140309150622218221 از بانک آينده شعبه 6202000 توسط مجیدرضا اله  وردی</t>
  </si>
  <si>
    <t>۱۴۰۳/۰۸/۲۴</t>
  </si>
  <si>
    <t>بانکداری مجازی</t>
  </si>
  <si>
    <t>1404/02/27</t>
  </si>
  <si>
    <t>12:02:09</t>
  </si>
  <si>
    <t>10156621203</t>
  </si>
  <si>
    <t>انتقال وجه از سپرده 10.5994211.1 - قسط زمین بلندیان برای 246 توسط  ابوالفضل بلنديان كاشي_سامانه اینترنت بانک</t>
  </si>
  <si>
    <t>جواز1</t>
  </si>
  <si>
    <t>09:20:30</t>
  </si>
  <si>
    <t>9186360722</t>
  </si>
  <si>
    <t>سند واریز پایا - داخلی با شماره پیگیری 140311140702760716 شبای مقصد IR840700001000119411652001 شناسه واریز  و شرح ارسال پایا از طریق بانکداری دیجیتال	شرح مبدا:	شرح مقصد:امور درمانی_سند واریز پایا - داخلی با شماره پیگیری 140311140702760716</t>
  </si>
  <si>
    <t>جواز2</t>
  </si>
  <si>
    <t>19:36:36</t>
  </si>
  <si>
    <t>9452834231</t>
  </si>
  <si>
    <t>سند واریز پایا - داخلی با شماره پیگیری 140312130702230280 شبای مقصد IR840700001000119411652001 شناسه واریز  و شرح ارسال پایا از طریق بانکداری دیجیتال	شرح مبدا:	شرح مقصد:امور بازنشستگی_سند واریز پایا - داخلی با شماره پیگیری 140312130702230280</t>
  </si>
  <si>
    <t>جواز3</t>
  </si>
  <si>
    <t>1404/01/13</t>
  </si>
  <si>
    <t>08:52:18</t>
  </si>
  <si>
    <t>9744473385</t>
  </si>
  <si>
    <t>سند واریز پایا - داخلی با شماره پیگیری 140401130702754579 شبای مقصد IR840700001000119411652001 شناسه واریز  و شرح ارسال پایا از طریق بانکداری دیجیتال	شرح مبدا:	شرح مقصد:امور سرمایه گذاری و بورس_سند واریز پایا - داخلی با شماره پیگیری 140401130702754579</t>
  </si>
  <si>
    <t>جواز4</t>
  </si>
  <si>
    <t>08:55:20</t>
  </si>
  <si>
    <t>9741450683</t>
  </si>
  <si>
    <t>I13544085773</t>
  </si>
  <si>
    <t>انتقال از کارت 6037991325613770 به کارت 5041721001816942 متعلق به فاطمه سادات ميركريم پور از اينترنت 17592030 - پذيرنده ص خشمان - بانک ملی - شماره مرجع 147681407710 شماره پيگيري 160282_سند تراکنش کارت</t>
  </si>
  <si>
    <t>1404/02/14</t>
  </si>
  <si>
    <t>06:02:38</t>
  </si>
  <si>
    <t>10043625126</t>
  </si>
  <si>
    <t>سند واریز پایا - داخلی با شماره پیگیری 140402140702257455 شبای مقصد IR840700001000119411652001 شناسه واریز  و شرح ارسال پایا از طریق بانکداری دیجیتال	شرح مبدا:	شرح مقصد:تسهیلات و تعهدات_سند واریز پایا - داخلی با شماره پیگیری 140402140702257455</t>
  </si>
  <si>
    <t>جوا5</t>
  </si>
  <si>
    <t>1404/02/30</t>
  </si>
  <si>
    <t>13:37:46</t>
  </si>
  <si>
    <t>10186979074</t>
  </si>
  <si>
    <t>0402300661600724*140402300661600724</t>
  </si>
  <si>
    <t>واریز از طریق ساتنا بابت پیام دریافتی از بانک دي به شماره پیگیری 0402300661600724 به درخواست بهنام عارف طاهر به شناسه پرداخت 000000000000000- انتقالی_واریز از طریق ساتنا بابت پیام دریافتی</t>
  </si>
  <si>
    <t>4</t>
  </si>
  <si>
    <t>09:42:38</t>
  </si>
  <si>
    <t>9183440045</t>
  </si>
  <si>
    <t>انتقال وجه از سپرده 10.9425002.1 - هیات امنا 246بلندیان توسط  همايون بلنديان کاشي_سامانه اینترنت بانک</t>
  </si>
  <si>
    <t>نرگس پرویززاده</t>
  </si>
  <si>
    <t>10:11:16</t>
  </si>
  <si>
    <t>9448638193</t>
  </si>
  <si>
    <t>18:10:57</t>
  </si>
  <si>
    <t>9461178281</t>
  </si>
  <si>
    <t>15:24:58</t>
  </si>
  <si>
    <t>10041839340</t>
  </si>
  <si>
    <t>انتقال وجه از سپرده 10.9425002.1 - حق الزحمه هیات امنا 246 هاشم حاجی قاسمی توسط  همايون بلنديان کاشي_سامانه اینترنت بانک</t>
  </si>
  <si>
    <t>قسط جواز 5</t>
  </si>
  <si>
    <t>17:54:43</t>
  </si>
  <si>
    <t>10045073661</t>
  </si>
  <si>
    <t>انتقال وجه از سپرده 10.9425002.1 - حق الزحمه هیات امنا 246 ابوالفضل بلندیان توسط  همايون بلنديان کاشي_سامانه اینترنت بانک</t>
  </si>
  <si>
    <t>عنوان</t>
  </si>
  <si>
    <t>11:06:18</t>
  </si>
  <si>
    <t>10038447826</t>
  </si>
  <si>
    <t>واریز پایا IRR,0054569109_واریز پایا بابت شماره پیگیری 140402140172438053 از بانک ملي شعبه 1700251 توسط ابوالفضل بلندیان  کاشی</t>
  </si>
  <si>
    <t xml:space="preserve"> ابوالفضل بلندیان  کاش</t>
  </si>
  <si>
    <t>بابت  درصد هیات امنا زمین و خرید  لوازم</t>
  </si>
  <si>
    <t>پارسیان/ابوالفضل</t>
  </si>
  <si>
    <t>1403/10/17</t>
  </si>
  <si>
    <t>14:00:34</t>
  </si>
  <si>
    <t>8950789423</t>
  </si>
  <si>
    <t>واریز پایا IRR,0061976441_واریز پایا بابت شماره پیگیری 140310170192396461 از بانک صادرات شعبه 1900013 توسط نرگس پرویززاده</t>
  </si>
  <si>
    <t>14:00:35</t>
  </si>
  <si>
    <t>8950789486</t>
  </si>
  <si>
    <t>واریز پایا IRR,0061976441_واریز پایا بابت شماره پیگیری 140310170192400441 از بانک صادرات شعبه 1900013 توسط نرگس پرویززاده</t>
  </si>
  <si>
    <t>14:00:42</t>
  </si>
  <si>
    <t>8953776059</t>
  </si>
  <si>
    <t>واریز پایا IRR,0061976441_واریز پایا بابت شماره پیگیری 140310170192395942 از بانک صادرات شعبه 1900013 توسط نرگس پرویززاده</t>
  </si>
  <si>
    <t>14:01:39</t>
  </si>
  <si>
    <t>8950792881</t>
  </si>
  <si>
    <t>واریز پایا IRR,0061976441_واریز پایا بابت شماره پیگیری 140310170192400907 از بانک صادرات شعبه 1900013 توسط نرگس پرویززاده</t>
  </si>
  <si>
    <t>قسط جواز4</t>
  </si>
  <si>
    <t>11:54:33</t>
  </si>
  <si>
    <t>8894619688</t>
  </si>
  <si>
    <t>0310110601055102*140310110601055102</t>
  </si>
  <si>
    <t>واریز از طریق ساتنا بابت پیام دریافتی از بانک قرض الحسنه مهر ايران به شماره پیگیری 0310110601055102 به درخواست محبوبه هزاردستان به شناسه پرداخت 000000000000000- انتقالی_واریز از طریق ساتنا بابت پیام دریافتی</t>
  </si>
  <si>
    <t>قسط جواز یک</t>
  </si>
  <si>
    <t>1404/01/14</t>
  </si>
  <si>
    <t>11:05:28</t>
  </si>
  <si>
    <t>9750679547</t>
  </si>
  <si>
    <t>واریز پایا IRR,0061976441_واریز پایا بابت شماره پیگیری 140401140192614413 از بانک صادرات شعبه 1900220 توسط نرگس پرویززاده</t>
  </si>
  <si>
    <t>قسط جواز 4</t>
  </si>
  <si>
    <t xml:space="preserve"> بهنام عارف طاهر</t>
  </si>
  <si>
    <t>۱۴۰۳/۰۸/۱۶ | ۰۶:۴۹</t>
  </si>
  <si>
    <t xml:space="preserve"> ش چک  /۰۱۳۰/۶۱۶۳۷۹ بانک عهده ملی ش رهگیری  ۰۳۰۸۱۵۰۵۶۴۰۰۲۲۸۶</t>
  </si>
  <si>
    <t>/۰۱۳۰/۶۱۶۳۷۹</t>
  </si>
  <si>
    <t>سعید پویا</t>
  </si>
  <si>
    <t>۱۴۰۳/۰۸/۲۴ | ۱۲:۰۹</t>
  </si>
  <si>
    <t>انتقال وجه موبایلت از سپرده ۹۰۴.۲۰.۸۱۰۲۲۸.۱ ش.پ ۰۰۰۰۱۷۳۱۵۷۳۵۴۸۳۶۶۴۰۳ - کاظم نیل قاز</t>
  </si>
  <si>
    <t>شهريار-۹۰۴</t>
  </si>
  <si>
    <t>محسن پویا</t>
  </si>
  <si>
    <t>۱۴۰۳/۱۱/۲۹ | ۰۶:۴۴</t>
  </si>
  <si>
    <t xml:space="preserve"> ش چک  /۰۱۲۴/۰۹۲۱۷۵ بانک عهده سپه  ش رهگیری  ۰۳۱۱۲۷۰۵۶۴۰۰۶۱۶۷</t>
  </si>
  <si>
    <t>۱۰۵۲۵۶۰۷</t>
  </si>
  <si>
    <t>/۰۱۲۴/۰۹۲۱۷۵</t>
  </si>
  <si>
    <t>۰۳۱۱۲۷۰۵۶۴۰۰۶۱۶۷</t>
  </si>
  <si>
    <t>پروژه</t>
  </si>
  <si>
    <t>1404/02/20</t>
  </si>
  <si>
    <t>17:02:31</t>
  </si>
  <si>
    <t>10092249412</t>
  </si>
  <si>
    <t>cheque-settlement-with-stmt286125513899</t>
  </si>
  <si>
    <t>0130/616391</t>
  </si>
  <si>
    <t>واریز بابت وصول چک  0130/616391 صادر از شعبه بهار کرج بانک ملي_سند وصول چک عادی عهده سایر بانکها به شماره 0130/616391 بانک ملي در تاریخ 1404/02/20</t>
  </si>
  <si>
    <t>149</t>
  </si>
  <si>
    <t>1404/01/16</t>
  </si>
  <si>
    <t>17:48:17</t>
  </si>
  <si>
    <t>9772433890</t>
  </si>
  <si>
    <t>cheque-settlement-with-stmt281584257736</t>
  </si>
  <si>
    <t>0130/616390</t>
  </si>
  <si>
    <t>واریز بابت وصول چک  0130/616390 صادر از شعبه بهار کرج بانک ملي_سند وصول چک عادی عهده سایر بانکها به شماره 0130/616390 بانک ملي در تاریخ 1404/01/16</t>
  </si>
  <si>
    <t>شهريار-۹۰۵</t>
  </si>
  <si>
    <t>/۰۱۳۰/۶۱۶۳78</t>
  </si>
  <si>
    <t>/۰۱۳۰/۶۱۶۳۷7</t>
  </si>
  <si>
    <t>1403/09/15</t>
  </si>
  <si>
    <t>250</t>
  </si>
  <si>
    <t>1404/03/18</t>
  </si>
  <si>
    <t>15:04:22</t>
  </si>
  <si>
    <t>10347738490</t>
  </si>
  <si>
    <t>cheque-settlement-with-stmt290357614500</t>
  </si>
  <si>
    <t>0130/616392</t>
  </si>
  <si>
    <t>واریز بابت وصول چک  0130/616392 صادر از شعبه بهار کرج بانک ملي_سند وصول چک عادی عهده سایر بانکها به شماره 0130/616392 بانک ملي در تاریخ 1404/03/18</t>
  </si>
  <si>
    <t>قسط جواز 6</t>
  </si>
  <si>
    <t>رسالت/بلندیان</t>
  </si>
  <si>
    <t>/۰۱۲۴/۰۹۲۱۷۴</t>
  </si>
  <si>
    <t>کوهی-خرید آهن</t>
  </si>
  <si>
    <t>رسالت/هاشم حاجی قاسمی</t>
  </si>
  <si>
    <t>قسط جواز1</t>
  </si>
  <si>
    <t>قسط جواز2</t>
  </si>
  <si>
    <t>0130/616389</t>
  </si>
  <si>
    <t>1404/12/15</t>
  </si>
  <si>
    <t>۱۴۰۳/۰۸/۱۶ | ۰۶:۴۶</t>
  </si>
  <si>
    <t xml:space="preserve"> ش چک  /۰۲۱۰/۰۲۹۴۲۶ بانک عهده ملی ش رهگیری  ۰۳۰۸۱۵۰۵۶۴۰۰۲۱۷۵</t>
  </si>
  <si>
    <t>/۰۲۱۰/۰۲۹۴۲۶</t>
  </si>
  <si>
    <t>۱۴۰۳/۱۱/۲۹ | ۰۶:۴۰</t>
  </si>
  <si>
    <t xml:space="preserve"> ش چک  /۰۲۱۰/۰۲۹۴۲۹ بانک عهده ملی ش رهگیری  ۰۳۱۱۲۷۰۵۶۴۰۰۶۰۱۷</t>
  </si>
  <si>
    <t>۱۰۵۲۴۷۵۵</t>
  </si>
  <si>
    <t>/۰۲۱۰/۰۲۹۴۲۹</t>
  </si>
  <si>
    <t>۰۳۱۱۲۷۰۵۶۴۰۰۶۰۱۷</t>
  </si>
  <si>
    <t>عنوان قسط</t>
  </si>
  <si>
    <t>ذینفع</t>
  </si>
  <si>
    <t>مبلغ</t>
  </si>
  <si>
    <t>پرداخت چهارم</t>
  </si>
  <si>
    <t>پرداخت پنجم</t>
  </si>
  <si>
    <t>جمع پرداختها</t>
  </si>
  <si>
    <t>حواله- نیل قاز</t>
  </si>
  <si>
    <t>14:05:20</t>
  </si>
  <si>
    <t>9754025861</t>
  </si>
  <si>
    <t>واریز پایا IRR,1755696159_واریز پایا بابت شماره پیگیری 140401140172090741 از بانک ملي شعبه 1700251 توسط مرتضی دزفولیان</t>
  </si>
  <si>
    <t>10:17:11</t>
  </si>
  <si>
    <t>10038347216</t>
  </si>
  <si>
    <t>0402140171021472*140402140171021472</t>
  </si>
  <si>
    <t>واریز از طریق ساتنا بابت پیام دریافتی از بانک ملي به شماره پیگیری 0402140171021472 به درخواست مرتضی دزفولیان- انتقالی_واریز از طریق ساتنا بابت پیام دریافتی</t>
  </si>
  <si>
    <t>1404/03/12</t>
  </si>
  <si>
    <t>19:03:32</t>
  </si>
  <si>
    <t>10299533591</t>
  </si>
  <si>
    <t>واریز پایا IRR,1755696159_واریز پایا بابت شماره پیگیری 140403120172235697 از بانک ملي شعبه 1700251 توسط مرتضی دزفولیان</t>
  </si>
  <si>
    <t>قسط جواز 3</t>
  </si>
  <si>
    <t>قسط جواز 1</t>
  </si>
  <si>
    <t xml:space="preserve"> ش چک  /۰۲۱۰/۰۲۹۴۲8 بانک عهده ملی </t>
  </si>
  <si>
    <t>کوهی</t>
  </si>
  <si>
    <t xml:space="preserve"> ش چک  /۰۲۱۰/۰۲۹۴30 بانک عهده ملی </t>
  </si>
  <si>
    <t>0210/029428</t>
  </si>
  <si>
    <t>0210/029429</t>
  </si>
  <si>
    <t>0210/029430</t>
  </si>
  <si>
    <t>1403/10/13</t>
  </si>
  <si>
    <t>04:49:05</t>
  </si>
  <si>
    <t>8911509981</t>
  </si>
  <si>
    <t>واریز پایا IRR,0491973780_واریز پایا بابت شماره پیگیری 1403101301527389860 از بانک سپه شعبه 1507460 توسط هادی مرادی</t>
  </si>
  <si>
    <t>واریز جواز 1</t>
  </si>
  <si>
    <t>1403/11/15</t>
  </si>
  <si>
    <t>07:31:01</t>
  </si>
  <si>
    <t>9195014758</t>
  </si>
  <si>
    <t>واریز پایا IRR,0491973780_واریز پایا بابت شماره پیگیری 1403111501521574080 از بانک سپه شعبه 1507460 توسط هادی مرادی</t>
  </si>
  <si>
    <t>واریز جواز 2</t>
  </si>
  <si>
    <t>14:09:19</t>
  </si>
  <si>
    <t>9460755542</t>
  </si>
  <si>
    <t>واریز پایا IRR,0491973780_واریز پایا بابت شماره پیگیری 1403121401525754140 از بانک سپه شعبه 1507460 توسط هادی مرادی</t>
  </si>
  <si>
    <t>واریز جواز 3</t>
  </si>
  <si>
    <t>1404/01/10</t>
  </si>
  <si>
    <t>04:44:30</t>
  </si>
  <si>
    <t>9721744188</t>
  </si>
  <si>
    <t>واریز پایا IRR,0491973780_واریز پایا بابت شماره پیگیری 1404011001529772138 از بانک سپه شعبه 1507460 توسط هادی مرادی</t>
  </si>
  <si>
    <t>واریز جواز 4</t>
  </si>
  <si>
    <t>1404/02/15</t>
  </si>
  <si>
    <t>04:51:09</t>
  </si>
  <si>
    <t>10046435416</t>
  </si>
  <si>
    <t>واریز پایا IRR,0491973780_واریز پایا بابت شماره پیگیری 1404021501523891124 از بانک سپه شعبه 1507460 توسط هادی مرادی</t>
  </si>
  <si>
    <t>واریز جواز 5</t>
  </si>
  <si>
    <t>19:40:12</t>
  </si>
  <si>
    <t>8663655684</t>
  </si>
  <si>
    <t>سند واریز پایا - داخلی با شماره پیگیری 140309150702203703 شبای مقصد IR470700001000119425002001 شناسه واریز  و شرح ارسال پایا از طریق بانکداری دیجیتال	شرح مبدا:قسط سوم خرید زمین۱۰۰ از ۲۵۰	شرح مقصد:معاملات اموال غیرمنقول_سند واریز پایا - داخلی با شماره پیگیری 140309150702203703</t>
  </si>
  <si>
    <t xml:space="preserve"> امیدعلی حیدری</t>
  </si>
  <si>
    <t>19:09:10</t>
  </si>
  <si>
    <t>8678458439</t>
  </si>
  <si>
    <t>سند واریز پایا - داخلی با شماره پیگیری 140309160702248436 شبای مقصد IR470700001000119425002001 شناسه واریز  و شرح ارسال پایا از طریق بانکداری دیجیتال	شرح مبدا:قسط سوم۱۰۰ میلیون دوم از ۲۵۰	شرح مقصد:معاملات اموال غیرمنقول_سند واریز پایا - داخلی با شماره پیگیری 140309160702248436</t>
  </si>
  <si>
    <t>1403/09/19</t>
  </si>
  <si>
    <t>12:36:53</t>
  </si>
  <si>
    <t>8699179057</t>
  </si>
  <si>
    <t>سند واریز پایا - داخلی با شماره پیگیری 140309190702477920 شبای مقصد IR470700001000119425002001 شناسه واریز  و شرح ارسال پایا از طریق بانکداری دیجیتال	شرح مبدا:800 میلیون خرید زمین	شرح مقصد:معاملات اموال غیرمنقول_سند واریز پایا - داخلی با شماره پیگیری 140309190702477920</t>
  </si>
  <si>
    <t>1403/10/16</t>
  </si>
  <si>
    <t>11:31</t>
  </si>
  <si>
    <t>‎1-1403-10-IRR-8941488557</t>
  </si>
  <si>
    <t>سند واریز پایا - داخلی با شماره پیگیری 140310160702677605 شبای مقصد IR470700001000119425002001 شناسه واریز  و شرح ارسال پایا از طریق بانکداری دیجیتال	شرح مبدا:قسط اول جواز فردیس	شرح مقصد:معاملات اموال غیرمنقول_سند واریز پایا - داخلی با شماره پیگیری 140310160702677605</t>
  </si>
  <si>
    <t>11:04:10</t>
  </si>
  <si>
    <t>9186629089</t>
  </si>
  <si>
    <t>واریز پایا IRR,4869689812_واریز پایا بابت شماره پیگیری 140311140172698001 از بانک ملي شعبه 1700251 توسط امیدعلی حیدری</t>
  </si>
  <si>
    <t>04:42:24</t>
  </si>
  <si>
    <t>9465360656</t>
  </si>
  <si>
    <t>واریز پایا IRR,4869689812_واریز پایا بابت شماره پیگیری 140312140172157024 از بانک ملي شعبه 1700251 توسط امیدعلی حیدری</t>
  </si>
  <si>
    <t>11:20:42</t>
  </si>
  <si>
    <t>9765652802</t>
  </si>
  <si>
    <t>سند واریز پایا - داخلی با شماره پیگیری 140401150702836391 شبای مقصد IR470700001000119425002001 شناسه واریز  و شرح ارسال پایا از طریق بانکداری دیجیتال	شرح مبدا:	شرح مقصد:بابت قصدامیدعلی. حیدری_سند واریز پایا - داخلی با شماره پیگیری 140401150702836391</t>
  </si>
  <si>
    <t>09:11:55</t>
  </si>
  <si>
    <t>10047149478</t>
  </si>
  <si>
    <t>سند واریز پایا - داخلی با شماره پیگیری 140402150702371876 شبای مقصد IR470700001000119425002001 شناسه واریز  و شرح ارسال پایا از طریق بانکداری دیجیتال	شرح مبدا:قسط اردیبهشت ۱۴۰۴.بخش جواز	شرح مقصد:معاملات اموال غیرمنقول_سند واریز پایا - داخلی با شماره پیگیری 140402150702371876</t>
  </si>
  <si>
    <t>1404/03/15</t>
  </si>
  <si>
    <t>19:08:19</t>
  </si>
  <si>
    <t>10322313376</t>
  </si>
  <si>
    <t>سند واریز پایا - داخلی با شماره پیگیری 140403150702052345 شبای مقصد IR470700001000119425002001 شناسه واریز  و شرح ارسال پایا از طریق بانکداری دیجیتال	شرح مبدا:قسط آخر بخش جواز خرداد ۱۴۰۴	شرح مقصد:معاملات اموال غیرمنقول_سند واریز پایا - داخلی با شماره پیگیری 140403150702052345</t>
  </si>
  <si>
    <t>حساب همایون</t>
  </si>
  <si>
    <t>بابت</t>
  </si>
  <si>
    <t>17:01:38</t>
  </si>
  <si>
    <t>10095182552</t>
  </si>
  <si>
    <t>cheque-settlement-with-stmt286078451427</t>
  </si>
  <si>
    <t>3394/549852</t>
  </si>
  <si>
    <t>واریز بابت وصول چک  3394/549852 صادر از شعبه دوازده محرم بانک تجارت_سند وصول چک عادی عهده سایر بانکها به شماره 3394/549852 بانک تجارت در تاریخ 1404/02/20</t>
  </si>
  <si>
    <t>15:45:27</t>
  </si>
  <si>
    <t>9720091616</t>
  </si>
  <si>
    <t>cheque-settlement-with-stmt280739216798</t>
  </si>
  <si>
    <t>3394/549853</t>
  </si>
  <si>
    <t>واریز بابت وصول چک  3394/549853 صادر از شعبه دوازده محرم بانک تجارت_سند وصول چک عادی عهده سایر بانکها به شماره 3394/549853 بانک تجارت در تاریخ 1404/01/10</t>
  </si>
  <si>
    <t>رسالت/هاشم</t>
  </si>
  <si>
    <t>3394/549851</t>
  </si>
  <si>
    <t>3394/549856</t>
  </si>
  <si>
    <t>3394/549855</t>
  </si>
  <si>
    <t>3394/549854</t>
  </si>
  <si>
    <t>1403/10/01</t>
  </si>
  <si>
    <t>1403/11/01</t>
  </si>
  <si>
    <t>1403/12/01</t>
  </si>
  <si>
    <t>1404/03/01</t>
  </si>
  <si>
    <t>زهرا  و لیلاکریمی</t>
  </si>
  <si>
    <t>2</t>
  </si>
  <si>
    <t>3</t>
  </si>
  <si>
    <t>6</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</si>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</sst>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3000401]0"/>
    <numFmt numFmtId="166" formatCode="[$-3000000]h:mm"/>
    <numFmt numFmtId="167" formatCode="[$-3000401]0.#####E+00"/>
    <numFmt numFmtId="169" formatCode="0_ ;\-0\ "/>
  </numFmts>
  <fonts count="29" x14ac:knownFonts="1">
    <font>
      <sz val="11"/>
      <color theme="1"/>
      <name val="Calibri"/>
      <family val="2"/>
      <scheme val="minor"/>
    </font>
    <font>
      <sz val="11"/>
      <color theme="1"/>
      <name val="Calibri"/>
      <family val="2"/>
      <scheme val="minor"/>
    </font>
    <font>
      <sz val="14"/>
      <color rgb="FFFF0000"/>
      <name val="B Mitra"/>
      <charset val="178"/>
    </font>
    <font>
      <b/>
      <sz val="11"/>
      <color theme="1"/>
      <name val="B Mitra"/>
      <charset val="178"/>
    </font>
    <font>
      <sz val="14"/>
      <color theme="1"/>
      <name val="Calibri"/>
      <family val="2"/>
      <scheme val="minor"/>
    </font>
    <font>
      <sz val="14"/>
      <color theme="1"/>
      <name val="B Mitra"/>
      <charset val="178"/>
    </font>
    <font>
      <sz val="12"/>
      <color theme="1"/>
      <name val="Calibri Light"/>
      <family val="2"/>
      <scheme val="major"/>
    </font>
    <font>
      <sz val="10"/>
      <color theme="1"/>
      <name val="B Mitra"/>
      <charset val="178"/>
    </font>
    <font>
      <sz val="11"/>
      <color theme="1"/>
      <name val="Tahoma"/>
      <family val="2"/>
    </font>
    <font>
      <b/>
      <sz val="9"/>
      <color rgb="FFFFFFFF"/>
      <name val="Tahoma"/>
      <family val="2"/>
    </font>
    <font>
      <sz val="9"/>
      <name val="Tahoma"/>
      <family val="2"/>
    </font>
    <font>
      <u/>
      <sz val="11"/>
      <color theme="10"/>
      <name val="Calibri"/>
      <family val="2"/>
      <scheme val="minor"/>
    </font>
    <font>
      <sz val="11"/>
      <name val="Calibri"/>
      <family val="2"/>
    </font>
    <font>
      <b/>
      <sz val="14"/>
      <color indexed="81"/>
      <name val="Tahoma"/>
      <family val="2"/>
    </font>
    <font>
      <b/>
      <sz val="12"/>
      <color indexed="81"/>
      <name val="Tahoma"/>
      <family val="2"/>
    </font>
    <font>
      <sz val="9"/>
      <color indexed="81"/>
      <name val="Tahoma"/>
    </font>
    <font>
      <b/>
      <sz val="9"/>
      <color indexed="81"/>
      <name val="Tahoma"/>
    </font>
    <font>
      <sz val="12"/>
      <color indexed="81"/>
      <name val="Tahoma"/>
      <family val="2"/>
    </font>
    <font>
      <sz val="11"/>
      <color theme="1"/>
      <name val="Calibri"/>
      <family val="2"/>
    </font>
    <font>
      <sz val="11"/>
      <color rgb="FF000000"/>
      <name val="Tahoma"/>
      <family val="2"/>
    </font>
    <font>
      <b/>
      <sz val="12"/>
      <color theme="1"/>
      <name val="B Mitra"/>
      <charset val="178"/>
    </font>
    <font>
      <sz val="12"/>
      <color theme="1"/>
      <name val="Times New Roman"/>
      <family val="1"/>
    </font>
    <font>
      <sz val="9"/>
      <color indexed="81"/>
      <name val="Tahoma"/>
      <family val="2"/>
    </font>
    <font>
      <b/>
      <sz val="9"/>
      <color indexed="81"/>
      <name val="Tahoma"/>
      <family val="2"/>
    </font>
    <font>
      <sz val="14"/>
      <color indexed="81"/>
      <name val="Tahoma"/>
      <family val="2"/>
    </font>
    <font>
      <sz val="8"/>
      <name val="Calibri"/>
      <family val="2"/>
      <scheme val="minor"/>
    </font>
    <font>
      <b/>
      <sz val="12"/>
      <color rgb="FFFFFFFF"/>
      <name val="Calibri"/>
      <family val="2"/>
      <scheme val="minor"/>
    </font>
    <font>
      <sz val="12"/>
      <color theme="1"/>
      <name val="Calibri"/>
      <family val="2"/>
      <charset val="178"/>
      <scheme val="minor"/>
    </font>
    <font>
      <sz val="11"/>
      <color theme="1"/>
      <name val="Calibri"/>
      <family val="2"/>
      <charset val="178"/>
    </font>
  </fonts>
  <fills count="17">
    <fill>
      <patternFill patternType="none"/>
    </fill>
    <fill>
      <patternFill patternType="gray125"/>
    </fill>
    <fill>
      <patternFill patternType="solid">
        <fgColor theme="0" tint="-4.9989318521683403E-2"/>
        <bgColor indexed="64"/>
      </patternFill>
    </fill>
    <fill>
      <patternFill patternType="solid">
        <fgColor theme="5" tint="0.399975585192419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rgb="FF92D050"/>
        <bgColor indexed="64"/>
      </patternFill>
    </fill>
    <fill>
      <patternFill patternType="solid">
        <fgColor rgb="FF8B8B8C"/>
        <bgColor rgb="FF8B8B8C"/>
      </patternFill>
    </fill>
    <fill>
      <patternFill patternType="solid">
        <fgColor theme="0"/>
        <bgColor rgb="FFFFFFFF"/>
      </patternFill>
    </fill>
    <fill>
      <patternFill patternType="solid">
        <fgColor theme="0"/>
        <bgColor rgb="FFCCCCCC"/>
      </patternFill>
    </fill>
    <fill>
      <patternFill patternType="solid">
        <fgColor theme="0"/>
        <bgColor indexed="64"/>
      </patternFill>
    </fill>
    <fill>
      <patternFill patternType="solid">
        <fgColor rgb="FFFFFF00"/>
        <bgColor rgb="FF000000"/>
      </patternFill>
    </fill>
    <fill>
      <patternFill patternType="solid">
        <fgColor rgb="FFFFFFFF"/>
        <bgColor rgb="FFFFFFFF"/>
      </patternFill>
    </fill>
    <fill>
      <patternFill patternType="solid">
        <fgColor rgb="FFFFFFFF"/>
        <bgColor rgb="FFCCCCCC"/>
      </patternFill>
    </fill>
    <fill>
      <patternFill patternType="solid">
        <fgColor rgb="FFFFFFFF"/>
        <bgColor rgb="FF000000"/>
      </patternFill>
    </fill>
  </fills>
  <borders count="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medium">
        <color indexed="64"/>
      </right>
      <top style="medium">
        <color indexed="64"/>
      </top>
      <bottom style="thin">
        <color indexed="64"/>
      </bottom>
      <diagonal/>
    </border>
  </borders>
  <cellStyleXfs count="3">
    <xf numFmtId="0" fontId="0" fillId="0" borderId="0"/>
    <xf numFmtId="43" fontId="1" fillId="0" borderId="0" applyFont="0" applyFill="0" applyBorder="0" applyAlignment="0" applyProtection="0"/>
    <xf numFmtId="0" fontId="11" fillId="0" borderId="0" applyNumberFormat="0" applyFill="0" applyBorder="0" applyAlignment="0" applyProtection="0"/>
  </cellStyleXfs>
  <cellXfs count="84">
    <xf numFmtId="0" fontId="0" fillId="0" borderId="0" xfId="0"/>
    <xf numFmtId="0" fontId="3" fillId="0" borderId="1" xfId="0" applyFont="1" applyBorder="1" applyAlignment="1">
      <alignment horizontal="center" vertical="center"/>
    </xf>
    <xf numFmtId="0" fontId="3" fillId="2" borderId="2" xfId="0" applyFont="1" applyFill="1" applyBorder="1" applyAlignment="1">
      <alignment horizontal="center" vertical="center"/>
    </xf>
    <xf numFmtId="0" fontId="4" fillId="0" borderId="3" xfId="0" applyFont="1" applyBorder="1" applyAlignment="1">
      <alignment horizontal="center" vertical="center"/>
    </xf>
    <xf numFmtId="2" fontId="6" fillId="0" borderId="4" xfId="1" applyNumberFormat="1" applyFont="1" applyBorder="1" applyAlignment="1">
      <alignment horizontal="center" vertical="center"/>
    </xf>
    <xf numFmtId="0" fontId="5" fillId="0" borderId="4" xfId="0" applyFont="1" applyBorder="1" applyAlignment="1">
      <alignment horizontal="center" vertical="center"/>
    </xf>
    <xf numFmtId="164" fontId="6" fillId="0" borderId="4" xfId="1" applyNumberFormat="1" applyFont="1" applyBorder="1" applyAlignment="1">
      <alignment horizontal="center" vertical="center"/>
    </xf>
    <xf numFmtId="0" fontId="2" fillId="5" borderId="4" xfId="0" applyFont="1" applyFill="1" applyBorder="1" applyAlignment="1">
      <alignment horizontal="center" vertical="center"/>
    </xf>
    <xf numFmtId="0" fontId="5" fillId="7" borderId="4" xfId="0" applyFont="1" applyFill="1" applyBorder="1" applyAlignment="1">
      <alignment horizontal="center" vertical="center"/>
    </xf>
    <xf numFmtId="0" fontId="2" fillId="8" borderId="4" xfId="0" applyFont="1" applyFill="1" applyBorder="1" applyAlignment="1">
      <alignment horizontal="center" vertical="center"/>
    </xf>
    <xf numFmtId="0" fontId="7" fillId="0" borderId="4" xfId="0" applyFont="1" applyBorder="1" applyAlignment="1">
      <alignment horizontal="center" vertical="center"/>
    </xf>
    <xf numFmtId="0" fontId="0" fillId="0" borderId="4" xfId="0" applyBorder="1"/>
    <xf numFmtId="165" fontId="0" fillId="0" borderId="4" xfId="0" applyNumberFormat="1" applyBorder="1"/>
    <xf numFmtId="164" fontId="8" fillId="0" borderId="4" xfId="1" applyNumberFormat="1" applyFont="1" applyBorder="1" applyAlignment="1">
      <alignment readingOrder="1"/>
    </xf>
    <xf numFmtId="0" fontId="0" fillId="0" borderId="5" xfId="0" applyBorder="1"/>
    <xf numFmtId="49" fontId="9" fillId="9" borderId="4" xfId="0" applyNumberFormat="1" applyFont="1" applyFill="1" applyBorder="1" applyAlignment="1">
      <alignment horizontal="center" vertical="center"/>
    </xf>
    <xf numFmtId="49" fontId="10" fillId="10" borderId="4" xfId="0" applyNumberFormat="1" applyFont="1" applyFill="1" applyBorder="1" applyAlignment="1">
      <alignment horizontal="center" vertical="center"/>
    </xf>
    <xf numFmtId="3" fontId="10" fillId="10" borderId="4" xfId="0" applyNumberFormat="1" applyFont="1" applyFill="1" applyBorder="1" applyAlignment="1">
      <alignment horizontal="center" vertical="center"/>
    </xf>
    <xf numFmtId="49" fontId="0" fillId="11" borderId="4" xfId="0" applyNumberFormat="1" applyFill="1" applyBorder="1" applyAlignment="1">
      <alignment horizontal="center" vertical="center"/>
    </xf>
    <xf numFmtId="0" fontId="11" fillId="3" borderId="4" xfId="2" applyFill="1" applyBorder="1" applyAlignment="1">
      <alignment horizontal="center" vertical="center"/>
    </xf>
    <xf numFmtId="0" fontId="11" fillId="0" borderId="0" xfId="2"/>
    <xf numFmtId="0" fontId="11" fillId="0" borderId="4" xfId="2" applyBorder="1" applyAlignment="1">
      <alignment horizontal="center" vertical="center"/>
    </xf>
    <xf numFmtId="0" fontId="11" fillId="4" borderId="4" xfId="2" applyFill="1" applyBorder="1" applyAlignment="1">
      <alignment horizontal="center" vertical="center"/>
    </xf>
    <xf numFmtId="0" fontId="12" fillId="11" borderId="4" xfId="0" applyFont="1" applyFill="1" applyBorder="1" applyAlignment="1">
      <alignment horizontal="center"/>
    </xf>
    <xf numFmtId="0" fontId="12" fillId="11" borderId="4" xfId="0" applyFont="1" applyFill="1" applyBorder="1" applyAlignment="1">
      <alignment horizontal="right"/>
    </xf>
    <xf numFmtId="3" fontId="12" fillId="11" borderId="4" xfId="0" applyNumberFormat="1" applyFont="1" applyFill="1" applyBorder="1" applyAlignment="1">
      <alignment horizontal="center"/>
    </xf>
    <xf numFmtId="0" fontId="0" fillId="12" borderId="4" xfId="0" applyFill="1" applyBorder="1"/>
    <xf numFmtId="49" fontId="0" fillId="11" borderId="6" xfId="0" applyNumberFormat="1" applyFill="1" applyBorder="1" applyAlignment="1">
      <alignment horizontal="center" vertical="center"/>
    </xf>
    <xf numFmtId="0" fontId="12" fillId="11" borderId="6" xfId="0" applyFont="1" applyFill="1" applyBorder="1" applyAlignment="1">
      <alignment horizontal="center"/>
    </xf>
    <xf numFmtId="0" fontId="12" fillId="11" borderId="6" xfId="0" applyFont="1" applyFill="1" applyBorder="1" applyAlignment="1">
      <alignment horizontal="right"/>
    </xf>
    <xf numFmtId="3" fontId="12" fillId="11" borderId="6" xfId="0" applyNumberFormat="1" applyFont="1" applyFill="1" applyBorder="1" applyAlignment="1">
      <alignment horizontal="center"/>
    </xf>
    <xf numFmtId="49" fontId="9" fillId="9" borderId="7" xfId="0" applyNumberFormat="1" applyFont="1" applyFill="1" applyBorder="1" applyAlignment="1">
      <alignment horizontal="center" vertical="center"/>
    </xf>
    <xf numFmtId="164" fontId="1" fillId="0" borderId="4" xfId="1" applyNumberFormat="1" applyFont="1" applyBorder="1" applyAlignment="1">
      <alignment readingOrder="1"/>
    </xf>
    <xf numFmtId="164" fontId="8" fillId="4" borderId="4" xfId="1" applyNumberFormat="1" applyFont="1" applyFill="1" applyBorder="1" applyAlignment="1">
      <alignment readingOrder="1"/>
    </xf>
    <xf numFmtId="164" fontId="0" fillId="0" borderId="0" xfId="0" applyNumberFormat="1"/>
    <xf numFmtId="43" fontId="1" fillId="0" borderId="0" xfId="1" applyFont="1"/>
    <xf numFmtId="0" fontId="18" fillId="0" borderId="4" xfId="0" applyFont="1" applyBorder="1"/>
    <xf numFmtId="165" fontId="18" fillId="0" borderId="4" xfId="0" applyNumberFormat="1" applyFont="1" applyBorder="1"/>
    <xf numFmtId="164" fontId="19" fillId="13" borderId="4" xfId="1" applyNumberFormat="1" applyFont="1" applyFill="1" applyBorder="1" applyAlignment="1">
      <alignment readingOrder="1"/>
    </xf>
    <xf numFmtId="164" fontId="8" fillId="12" borderId="4" xfId="1" applyNumberFormat="1" applyFont="1" applyFill="1" applyBorder="1" applyAlignment="1">
      <alignment readingOrder="1"/>
    </xf>
    <xf numFmtId="0" fontId="11" fillId="5" borderId="4" xfId="2" applyFill="1" applyBorder="1" applyAlignment="1">
      <alignment horizontal="center" vertical="center"/>
    </xf>
    <xf numFmtId="0" fontId="11" fillId="0" borderId="0" xfId="2" applyFill="1"/>
    <xf numFmtId="0" fontId="11" fillId="6" borderId="4" xfId="2" applyFill="1" applyBorder="1" applyAlignment="1">
      <alignment horizontal="center" vertical="center"/>
    </xf>
    <xf numFmtId="164" fontId="3" fillId="2" borderId="2" xfId="1" applyNumberFormat="1" applyFont="1" applyFill="1" applyBorder="1" applyAlignment="1">
      <alignment horizontal="center" vertical="center"/>
    </xf>
    <xf numFmtId="0" fontId="20" fillId="2" borderId="2" xfId="0" applyFont="1" applyFill="1" applyBorder="1" applyAlignment="1">
      <alignment horizontal="center" vertical="center"/>
    </xf>
    <xf numFmtId="0" fontId="3" fillId="2" borderId="8" xfId="0" applyFont="1" applyFill="1" applyBorder="1" applyAlignment="1">
      <alignment horizontal="center" vertical="center"/>
    </xf>
    <xf numFmtId="164" fontId="21" fillId="0" borderId="4" xfId="1" applyNumberFormat="1" applyFont="1" applyBorder="1" applyAlignment="1">
      <alignment horizontal="center" vertical="center"/>
    </xf>
    <xf numFmtId="164" fontId="4" fillId="0" borderId="3" xfId="1" applyNumberFormat="1" applyFont="1" applyBorder="1" applyAlignment="1">
      <alignment horizontal="center" vertical="center"/>
    </xf>
    <xf numFmtId="164" fontId="4" fillId="3" borderId="3" xfId="1" applyNumberFormat="1" applyFont="1" applyFill="1" applyBorder="1" applyAlignment="1">
      <alignment horizontal="center" vertical="center"/>
    </xf>
    <xf numFmtId="164" fontId="4" fillId="5" borderId="3" xfId="1" applyNumberFormat="1" applyFont="1" applyFill="1" applyBorder="1" applyAlignment="1">
      <alignment horizontal="center" vertical="center"/>
    </xf>
    <xf numFmtId="0" fontId="0" fillId="0" borderId="4" xfId="0" applyBorder="1" applyAlignment="1">
      <alignment wrapText="1"/>
    </xf>
    <xf numFmtId="164" fontId="1" fillId="0" borderId="4" xfId="0" applyNumberFormat="1" applyFont="1" applyBorder="1"/>
    <xf numFmtId="49" fontId="9" fillId="9" borderId="6" xfId="0" applyNumberFormat="1" applyFont="1" applyFill="1" applyBorder="1" applyAlignment="1">
      <alignment horizontal="center" vertical="center"/>
    </xf>
    <xf numFmtId="166" fontId="0" fillId="0" borderId="4" xfId="0" applyNumberFormat="1" applyBorder="1"/>
    <xf numFmtId="49" fontId="10" fillId="11" borderId="4" xfId="0" applyNumberFormat="1" applyFont="1" applyFill="1" applyBorder="1" applyAlignment="1">
      <alignment horizontal="center" vertical="center"/>
    </xf>
    <xf numFmtId="164" fontId="1" fillId="0" borderId="4" xfId="1" applyNumberFormat="1" applyFont="1" applyBorder="1" applyAlignment="1">
      <alignment vertical="center" readingOrder="1"/>
    </xf>
    <xf numFmtId="3" fontId="12" fillId="11" borderId="4" xfId="0" applyNumberFormat="1" applyFont="1" applyFill="1" applyBorder="1" applyAlignment="1">
      <alignment horizontal="center" vertical="center"/>
    </xf>
    <xf numFmtId="49" fontId="0" fillId="10" borderId="4" xfId="0" applyNumberFormat="1" applyFill="1" applyBorder="1" applyAlignment="1">
      <alignment horizontal="center" vertical="center"/>
    </xf>
    <xf numFmtId="3" fontId="10" fillId="11" borderId="4" xfId="0" applyNumberFormat="1" applyFont="1" applyFill="1" applyBorder="1" applyAlignment="1">
      <alignment horizontal="center" vertical="center"/>
    </xf>
    <xf numFmtId="0" fontId="10" fillId="11" borderId="4" xfId="0" applyFont="1" applyFill="1" applyBorder="1" applyAlignment="1">
      <alignment horizontal="center" vertical="center"/>
    </xf>
    <xf numFmtId="167" fontId="0" fillId="0" borderId="4" xfId="0" applyNumberFormat="1" applyBorder="1"/>
    <xf numFmtId="49" fontId="26" fillId="9" borderId="5" xfId="0" applyNumberFormat="1" applyFont="1" applyFill="1" applyBorder="1" applyAlignment="1">
      <alignment horizontal="center" vertical="center"/>
    </xf>
    <xf numFmtId="3" fontId="0" fillId="10" borderId="4" xfId="0" applyNumberFormat="1" applyFill="1" applyBorder="1" applyAlignment="1">
      <alignment horizontal="center" vertical="center"/>
    </xf>
    <xf numFmtId="49" fontId="27" fillId="14" borderId="4" xfId="0" applyNumberFormat="1" applyFont="1" applyFill="1" applyBorder="1" applyAlignment="1">
      <alignment horizontal="center" vertical="center"/>
    </xf>
    <xf numFmtId="49" fontId="10" fillId="14" borderId="4" xfId="0" applyNumberFormat="1" applyFont="1" applyFill="1" applyBorder="1" applyAlignment="1">
      <alignment horizontal="center" vertical="center"/>
    </xf>
    <xf numFmtId="3" fontId="10" fillId="14" borderId="4" xfId="0" applyNumberFormat="1" applyFont="1" applyFill="1" applyBorder="1" applyAlignment="1">
      <alignment horizontal="center" vertical="center"/>
    </xf>
    <xf numFmtId="49" fontId="19" fillId="14" borderId="4" xfId="0" applyNumberFormat="1" applyFont="1" applyFill="1" applyBorder="1" applyAlignment="1">
      <alignment horizontal="center" vertical="center"/>
    </xf>
    <xf numFmtId="0" fontId="28" fillId="0" borderId="0" xfId="0" applyFont="1" applyAlignment="1">
      <alignment horizontal="center"/>
    </xf>
    <xf numFmtId="0" fontId="0" fillId="0" borderId="4" xfId="0" applyBorder="1" applyAlignment="1">
      <alignment horizontal="center"/>
    </xf>
    <xf numFmtId="164" fontId="8" fillId="0" borderId="4" xfId="1" applyNumberFormat="1" applyFont="1" applyBorder="1" applyAlignment="1">
      <alignment horizontal="center" readingOrder="1"/>
    </xf>
    <xf numFmtId="165" fontId="0" fillId="0" borderId="4" xfId="0" applyNumberFormat="1" applyBorder="1" applyAlignment="1">
      <alignment horizontal="center"/>
    </xf>
    <xf numFmtId="49" fontId="26" fillId="9" borderId="4" xfId="0" applyNumberFormat="1" applyFont="1" applyFill="1" applyBorder="1" applyAlignment="1">
      <alignment horizontal="center" vertical="center"/>
    </xf>
    <xf numFmtId="0" fontId="18" fillId="0" borderId="0" xfId="0" applyFont="1"/>
    <xf numFmtId="49" fontId="18" fillId="15" borderId="4" xfId="0" applyNumberFormat="1" applyFont="1" applyFill="1" applyBorder="1" applyAlignment="1">
      <alignment horizontal="center" vertical="center"/>
    </xf>
    <xf numFmtId="3" fontId="18" fillId="15" borderId="4" xfId="0" applyNumberFormat="1" applyFont="1" applyFill="1" applyBorder="1" applyAlignment="1">
      <alignment horizontal="center" vertical="center"/>
    </xf>
    <xf numFmtId="0" fontId="18" fillId="16" borderId="4" xfId="0" applyFont="1" applyFill="1" applyBorder="1"/>
    <xf numFmtId="49" fontId="18" fillId="14" borderId="4" xfId="0" applyNumberFormat="1" applyFont="1" applyFill="1" applyBorder="1" applyAlignment="1">
      <alignment horizontal="center" vertical="center"/>
    </xf>
    <xf numFmtId="3" fontId="18" fillId="14" borderId="4" xfId="0" applyNumberFormat="1" applyFont="1" applyFill="1" applyBorder="1" applyAlignment="1">
      <alignment horizontal="center" vertical="center"/>
    </xf>
    <xf numFmtId="0" fontId="12" fillId="15" borderId="4" xfId="0" applyFont="1" applyFill="1" applyBorder="1" applyAlignment="1">
      <alignment horizontal="center"/>
    </xf>
    <xf numFmtId="0" fontId="12" fillId="15" borderId="4" xfId="0" applyFont="1" applyFill="1" applyBorder="1" applyAlignment="1">
      <alignment horizontal="right"/>
    </xf>
    <xf numFmtId="3" fontId="12" fillId="15" borderId="4" xfId="0" applyNumberFormat="1" applyFont="1" applyFill="1" applyBorder="1" applyAlignment="1">
      <alignment horizontal="center"/>
    </xf>
    <xf numFmtId="0" fontId="0" fillId="12" borderId="4" xfId="0" applyFill="1" applyBorder="1" applyAlignment="1">
      <alignment horizontal="center"/>
    </xf>
    <xf numFmtId="0" fontId="18" fillId="16" borderId="4" xfId="0" applyFont="1" applyFill="1" applyBorder="1" applyAlignment="1">
      <alignment horizontal="center"/>
    </xf>
    <xf numFmtId="169" fontId="26" fillId="9" borderId="4" xfId="1" applyNumberFormat="1" applyFont="1" applyFill="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MyWork\Projects\&#1602;&#1591;&#1593;&#1607;%20246%20-&#1606;&#1740;&#1604;%20&#1602;&#1575;&#1586;\&#1589;&#1608;&#1585;&#1578;&#1581;&#1587;&#1575;&#1576;%20246-%20140402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اعضای اصلی"/>
      <sheetName val="نیل قاز"/>
      <sheetName val="همایون"/>
      <sheetName val="حسینی-جواز"/>
      <sheetName val="کریمپور"/>
      <sheetName val="هزینه از اقساط زمین"/>
      <sheetName val="رسالت بلندیان"/>
      <sheetName val="رسالت هاشم"/>
      <sheetName val="هیات امنا"/>
      <sheetName val="کمیسون حیدری"/>
      <sheetName val="اسامی جهت سند"/>
    </sheetNames>
    <sheetDataSet>
      <sheetData sheetId="0">
        <row r="8">
          <cell r="E8">
            <v>425000000</v>
          </cell>
          <cell r="G8">
            <v>625000000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1589;&#1608;&#1585;&#1578;&#1581;&#1587;&#1575;&#1576;%20246&#1575;&#1593;&#1590;&#1575;14040201%20.xlsx" TargetMode="External"/><Relationship Id="rId13" Type="http://schemas.openxmlformats.org/officeDocument/2006/relationships/hyperlink" Target="&#1589;&#1608;&#1585;&#1578;&#1581;&#1587;&#1575;&#1576;%20246&#1575;&#1593;&#1590;&#1575;14040201%20.xlsx" TargetMode="External"/><Relationship Id="rId3" Type="http://schemas.openxmlformats.org/officeDocument/2006/relationships/hyperlink" Target="&#1589;&#1608;&#1585;&#1578;&#1581;&#1587;&#1575;&#1576;%20246&#1575;&#1593;&#1590;&#1575;14040201%20.xlsx" TargetMode="External"/><Relationship Id="rId7" Type="http://schemas.openxmlformats.org/officeDocument/2006/relationships/hyperlink" Target="&#1589;&#1608;&#1585;&#1578;&#1581;&#1587;&#1575;&#1576;%20246&#1575;&#1593;&#1590;&#1575;14040201%20.xlsx" TargetMode="External"/><Relationship Id="rId12" Type="http://schemas.openxmlformats.org/officeDocument/2006/relationships/hyperlink" Target="&#1589;&#1608;&#1585;&#1578;&#1581;&#1587;&#1575;&#1576;%20246&#1575;&#1593;&#1590;&#1575;14040201%20.xlsx" TargetMode="External"/><Relationship Id="rId2" Type="http://schemas.openxmlformats.org/officeDocument/2006/relationships/hyperlink" Target="&#1589;&#1608;&#1585;&#1578;&#1581;&#1587;&#1575;&#1576;%20246&#1575;&#1593;&#1590;&#1575;14040201%20.xlsx" TargetMode="External"/><Relationship Id="rId1" Type="http://schemas.openxmlformats.org/officeDocument/2006/relationships/hyperlink" Target="&#1589;&#1608;&#1585;&#1578;&#1581;&#1587;&#1575;&#1576;%20246&#1575;&#1593;&#1590;&#1575;14040201%20.xlsx" TargetMode="External"/><Relationship Id="rId6" Type="http://schemas.openxmlformats.org/officeDocument/2006/relationships/hyperlink" Target="&#1589;&#1608;&#1585;&#1578;&#1581;&#1587;&#1575;&#1576;%20246&#1575;&#1593;&#1590;&#1575;14040201%20.xlsx" TargetMode="External"/><Relationship Id="rId11" Type="http://schemas.openxmlformats.org/officeDocument/2006/relationships/hyperlink" Target="&#1589;&#1608;&#1585;&#1578;&#1581;&#1587;&#1575;&#1576;%20246&#1575;&#1593;&#1590;&#1575;14040201%20.xlsx" TargetMode="External"/><Relationship Id="rId5" Type="http://schemas.openxmlformats.org/officeDocument/2006/relationships/hyperlink" Target="&#1589;&#1608;&#1585;&#1578;&#1581;&#1587;&#1575;&#1576;%20246&#1575;&#1593;&#1590;&#1575;14040201%20.xlsx" TargetMode="External"/><Relationship Id="rId15" Type="http://schemas.openxmlformats.org/officeDocument/2006/relationships/hyperlink" Target="&#1589;&#1608;&#1585;&#1578;&#1581;&#1587;&#1575;&#1576;%20246&#1575;&#1593;&#1590;&#1575;14040201%20.xlsx" TargetMode="External"/><Relationship Id="rId10" Type="http://schemas.openxmlformats.org/officeDocument/2006/relationships/hyperlink" Target="&#1589;&#1608;&#1585;&#1578;&#1581;&#1587;&#1575;&#1576;%20246&#1575;&#1593;&#1590;&#1575;14040201%20.xlsx" TargetMode="External"/><Relationship Id="rId4" Type="http://schemas.openxmlformats.org/officeDocument/2006/relationships/hyperlink" Target="&#1589;&#1608;&#1585;&#1578;&#1581;&#1587;&#1575;&#1576;%20246&#1575;&#1593;&#1590;&#1575;14040201%20.xlsx" TargetMode="External"/><Relationship Id="rId9" Type="http://schemas.openxmlformats.org/officeDocument/2006/relationships/hyperlink" Target="&#1589;&#1608;&#1585;&#1578;&#1581;&#1587;&#1575;&#1576;%20246&#1575;&#1593;&#1590;&#1575;14040201%20.xlsx" TargetMode="External"/><Relationship Id="rId14" Type="http://schemas.openxmlformats.org/officeDocument/2006/relationships/hyperlink" Target="&#1589;&#1608;&#1585;&#1578;&#1581;&#1587;&#1575;&#1576;%20246&#1575;&#1593;&#1590;&#1575;14040201%20.xlsx"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1589;&#1608;&#1585;&#1578;&#1581;&#1587;&#1575;&#1576;%20246-%2014040306.xlsx"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hyperlink" Target="&#1589;&#1608;&#1585;&#1578;&#1581;&#1587;&#1575;&#1576;%20246&#1575;&#1593;&#1590;&#1575;14040201%20.xlsx" TargetMode="Externa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hyperlink" Target="&#1589;&#1608;&#1585;&#1578;&#1581;&#1587;&#1575;&#1576;%20246&#1575;&#1593;&#1590;&#1575;14040201%20.xlsx"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1589;&#1608;&#1585;&#1578;&#1581;&#1587;&#1575;&#1576;%20246&#1575;&#1593;&#1590;&#1575;14040201%20.xlsx"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1589;&#1608;&#1585;&#1578;&#1581;&#1587;&#1575;&#1576;%20246&#1575;&#1593;&#1590;&#1575;14040201%20.xlsx"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1589;&#1608;&#1585;&#1578;&#1581;&#1587;&#1575;&#1576;%20246&#1575;&#1593;&#1590;&#1575;14040201%20.xlsx"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1589;&#1608;&#1585;&#1578;&#1581;&#1587;&#1575;&#1576;%20246&#1575;&#1593;&#1590;&#1575;14040201%20.xlsx"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1589;&#1608;&#1585;&#1578;&#1581;&#1587;&#1575;&#1576;%20246&#1575;&#1593;&#1590;&#1575;14040201%20.xlsx"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1589;&#1608;&#1585;&#1578;&#1581;&#1587;&#1575;&#1576;%20246&#1575;&#1593;&#1590;&#1575;14040201%20.xlsx"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1589;&#1608;&#1585;&#1578;&#1581;&#1587;&#1575;&#1576;%20246&#1575;&#1593;&#1590;&#1575;14040201%20.xlsx"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1589;&#1608;&#1585;&#1578;&#1581;&#1587;&#1575;&#1576;%20246&#1575;&#1593;&#1590;&#1575;14040201%20.xlsx"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1589;&#1608;&#1585;&#1578;&#1581;&#1587;&#1575;&#1576;%20246&#1575;&#1593;&#1590;&#1575;14040201%20.xlsx"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1589;&#1608;&#1585;&#1578;&#1581;&#1587;&#1575;&#1576;%20246&#1575;&#1593;&#1590;&#1575;14040201%20.xlsx"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1589;&#1608;&#1585;&#1578;&#1581;&#1587;&#1575;&#1576;%20246&#1575;&#1593;&#1590;&#1575;14040201%20.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AC998-81FF-4C53-A0AD-D844470A1B0D}">
  <dimension ref="A1:C40"/>
  <sheetViews>
    <sheetView rightToLeft="1" topLeftCell="A16" workbookViewId="0">
      <selection activeCell="B31" sqref="B31"/>
    </sheetView>
  </sheetViews>
  <sheetFormatPr defaultRowHeight="15" x14ac:dyDescent="0.25"/>
  <cols>
    <col min="1" max="1" width="5.85546875" customWidth="1"/>
    <col min="2" max="2" width="40.28515625" customWidth="1"/>
    <col min="3" max="3" width="14" customWidth="1"/>
    <col min="4" max="4" width="13.85546875" customWidth="1"/>
  </cols>
  <sheetData>
    <row r="1" spans="1:3" ht="18" x14ac:dyDescent="0.25">
      <c r="A1" s="1" t="s">
        <v>0</v>
      </c>
      <c r="B1" s="2" t="s">
        <v>1</v>
      </c>
      <c r="C1" s="2" t="s">
        <v>2</v>
      </c>
    </row>
    <row r="2" spans="1:3" ht="18.75" x14ac:dyDescent="0.25">
      <c r="A2" s="3">
        <v>1</v>
      </c>
      <c r="B2" s="19" t="s">
        <v>3</v>
      </c>
      <c r="C2" s="4">
        <v>0.5</v>
      </c>
    </row>
    <row r="3" spans="1:3" ht="18.75" x14ac:dyDescent="0.25">
      <c r="A3" s="3">
        <v>2</v>
      </c>
      <c r="B3" s="19" t="s">
        <v>4</v>
      </c>
      <c r="C3" s="4">
        <v>0.5</v>
      </c>
    </row>
    <row r="4" spans="1:3" ht="18.75" x14ac:dyDescent="0.25">
      <c r="A4" s="3">
        <v>3</v>
      </c>
      <c r="B4" s="21" t="s">
        <v>5</v>
      </c>
      <c r="C4" s="6">
        <v>1</v>
      </c>
    </row>
    <row r="5" spans="1:3" ht="18.75" x14ac:dyDescent="0.25">
      <c r="A5" s="3">
        <v>4</v>
      </c>
      <c r="B5" s="22" t="s">
        <v>6</v>
      </c>
      <c r="C5" s="4">
        <v>0.5</v>
      </c>
    </row>
    <row r="6" spans="1:3" ht="18.75" x14ac:dyDescent="0.25">
      <c r="A6" s="3">
        <v>5</v>
      </c>
      <c r="B6" s="22" t="s">
        <v>7</v>
      </c>
      <c r="C6" s="4">
        <v>0.5</v>
      </c>
    </row>
    <row r="7" spans="1:3" ht="18.75" x14ac:dyDescent="0.25">
      <c r="A7" s="3">
        <v>7</v>
      </c>
      <c r="B7" s="40" t="s">
        <v>8</v>
      </c>
      <c r="C7" s="4">
        <v>0.25</v>
      </c>
    </row>
    <row r="8" spans="1:3" ht="18.75" x14ac:dyDescent="0.25">
      <c r="A8" s="3">
        <v>8</v>
      </c>
      <c r="B8" s="40" t="s">
        <v>9</v>
      </c>
      <c r="C8" s="4">
        <v>0.25</v>
      </c>
    </row>
    <row r="9" spans="1:3" ht="18.75" x14ac:dyDescent="0.25">
      <c r="A9" s="3">
        <v>25</v>
      </c>
      <c r="B9" s="40" t="s">
        <v>10</v>
      </c>
      <c r="C9" s="4">
        <v>0.25</v>
      </c>
    </row>
    <row r="10" spans="1:3" ht="18.75" x14ac:dyDescent="0.25">
      <c r="A10" s="3">
        <v>26</v>
      </c>
      <c r="B10" s="40" t="s">
        <v>11</v>
      </c>
      <c r="C10" s="4">
        <v>0.25</v>
      </c>
    </row>
    <row r="11" spans="1:3" ht="18.75" x14ac:dyDescent="0.25">
      <c r="A11" s="3">
        <v>9</v>
      </c>
      <c r="B11" s="21" t="s">
        <v>212</v>
      </c>
      <c r="C11" s="6">
        <v>1</v>
      </c>
    </row>
    <row r="12" spans="1:3" ht="18.75" x14ac:dyDescent="0.25">
      <c r="A12" s="3">
        <v>10</v>
      </c>
      <c r="B12" s="21" t="s">
        <v>13</v>
      </c>
      <c r="C12" s="6">
        <v>1</v>
      </c>
    </row>
    <row r="13" spans="1:3" ht="18.75" x14ac:dyDescent="0.25">
      <c r="A13" s="3">
        <v>11</v>
      </c>
      <c r="B13" s="21" t="s">
        <v>14</v>
      </c>
      <c r="C13" s="6">
        <v>1</v>
      </c>
    </row>
    <row r="14" spans="1:3" ht="18.75" x14ac:dyDescent="0.25">
      <c r="A14" s="3">
        <v>12</v>
      </c>
      <c r="B14" s="21" t="s">
        <v>15</v>
      </c>
      <c r="C14" s="6">
        <v>1</v>
      </c>
    </row>
    <row r="15" spans="1:3" ht="18.75" x14ac:dyDescent="0.25">
      <c r="A15" s="3">
        <v>13</v>
      </c>
      <c r="B15" s="21" t="s">
        <v>16</v>
      </c>
      <c r="C15" s="6">
        <v>1</v>
      </c>
    </row>
    <row r="16" spans="1:3" ht="18.75" x14ac:dyDescent="0.25">
      <c r="A16" s="3">
        <v>14</v>
      </c>
      <c r="B16" s="21" t="s">
        <v>215</v>
      </c>
      <c r="C16" s="6">
        <v>1</v>
      </c>
    </row>
    <row r="17" spans="1:3" ht="18.75" x14ac:dyDescent="0.25">
      <c r="A17" s="3">
        <v>15</v>
      </c>
      <c r="B17" s="21" t="s">
        <v>17</v>
      </c>
      <c r="C17" s="6">
        <v>1</v>
      </c>
    </row>
    <row r="18" spans="1:3" ht="18.75" x14ac:dyDescent="0.25">
      <c r="A18" s="3">
        <v>16</v>
      </c>
      <c r="B18" s="21" t="s">
        <v>217</v>
      </c>
      <c r="C18" s="6">
        <v>1</v>
      </c>
    </row>
    <row r="19" spans="1:3" ht="18.75" x14ac:dyDescent="0.25">
      <c r="A19" s="3">
        <v>17</v>
      </c>
      <c r="B19" s="21" t="s">
        <v>218</v>
      </c>
      <c r="C19" s="6">
        <v>1</v>
      </c>
    </row>
    <row r="20" spans="1:3" ht="18.75" x14ac:dyDescent="0.25">
      <c r="A20" s="3">
        <v>18</v>
      </c>
      <c r="B20" s="42" t="s">
        <v>19</v>
      </c>
      <c r="C20" s="4">
        <v>0.5</v>
      </c>
    </row>
    <row r="21" spans="1:3" ht="18.75" x14ac:dyDescent="0.25">
      <c r="A21" s="3">
        <v>19</v>
      </c>
      <c r="B21" s="42" t="s">
        <v>20</v>
      </c>
      <c r="C21" s="4">
        <v>0.5</v>
      </c>
    </row>
    <row r="22" spans="1:3" ht="21.75" x14ac:dyDescent="0.25">
      <c r="A22" s="3">
        <v>20</v>
      </c>
      <c r="B22" s="5" t="s">
        <v>21</v>
      </c>
      <c r="C22" s="6">
        <v>1</v>
      </c>
    </row>
    <row r="23" spans="1:3" ht="21.75" x14ac:dyDescent="0.25">
      <c r="A23" s="3">
        <v>21</v>
      </c>
      <c r="B23" s="8" t="s">
        <v>22</v>
      </c>
      <c r="C23" s="4">
        <v>0.5</v>
      </c>
    </row>
    <row r="24" spans="1:3" ht="21.75" x14ac:dyDescent="0.25">
      <c r="A24" s="3">
        <v>22</v>
      </c>
      <c r="B24" s="8" t="s">
        <v>23</v>
      </c>
      <c r="C24" s="4">
        <v>0.5</v>
      </c>
    </row>
    <row r="25" spans="1:3" ht="21.75" x14ac:dyDescent="0.25">
      <c r="A25" s="3">
        <v>23</v>
      </c>
      <c r="B25" s="5" t="s">
        <v>24</v>
      </c>
      <c r="C25" s="6">
        <v>1</v>
      </c>
    </row>
    <row r="26" spans="1:3" ht="21.75" x14ac:dyDescent="0.25">
      <c r="A26" s="3">
        <v>24</v>
      </c>
      <c r="B26" s="5" t="s">
        <v>25</v>
      </c>
      <c r="C26" s="6">
        <v>1</v>
      </c>
    </row>
    <row r="27" spans="1:3" ht="21.75" x14ac:dyDescent="0.25">
      <c r="A27" s="3">
        <v>6</v>
      </c>
      <c r="B27" s="9" t="s">
        <v>26</v>
      </c>
      <c r="C27" s="4">
        <v>1</v>
      </c>
    </row>
    <row r="28" spans="1:3" ht="21.75" x14ac:dyDescent="0.25">
      <c r="A28" s="3">
        <v>28</v>
      </c>
      <c r="B28" s="5" t="s">
        <v>27</v>
      </c>
      <c r="C28" s="4">
        <v>0.5</v>
      </c>
    </row>
    <row r="29" spans="1:3" ht="21.75" x14ac:dyDescent="0.25">
      <c r="A29" s="3">
        <v>29</v>
      </c>
      <c r="B29" s="5" t="s">
        <v>28</v>
      </c>
      <c r="C29" s="4">
        <v>0.5</v>
      </c>
    </row>
    <row r="30" spans="1:3" ht="18.75" x14ac:dyDescent="0.25">
      <c r="A30" s="3">
        <v>30</v>
      </c>
      <c r="B30" s="21" t="s">
        <v>39</v>
      </c>
      <c r="C30" s="6">
        <v>1</v>
      </c>
    </row>
    <row r="31" spans="1:3" ht="18.75" x14ac:dyDescent="0.25">
      <c r="A31" s="3">
        <v>31</v>
      </c>
      <c r="B31" s="21" t="s">
        <v>29</v>
      </c>
      <c r="C31" s="6">
        <v>1</v>
      </c>
    </row>
    <row r="32" spans="1:3" ht="21.75" x14ac:dyDescent="0.25">
      <c r="A32" s="3">
        <v>32</v>
      </c>
      <c r="B32" s="5" t="s">
        <v>30</v>
      </c>
      <c r="C32" s="6">
        <v>1</v>
      </c>
    </row>
    <row r="33" spans="1:3" ht="21.75" x14ac:dyDescent="0.25">
      <c r="A33" s="3">
        <v>33</v>
      </c>
      <c r="B33" s="5" t="s">
        <v>31</v>
      </c>
      <c r="C33" s="6">
        <v>1</v>
      </c>
    </row>
    <row r="34" spans="1:3" ht="21.75" x14ac:dyDescent="0.25">
      <c r="A34" s="3">
        <v>34</v>
      </c>
      <c r="B34" s="5" t="s">
        <v>32</v>
      </c>
      <c r="C34" s="6">
        <v>1</v>
      </c>
    </row>
    <row r="35" spans="1:3" ht="21.75" x14ac:dyDescent="0.25">
      <c r="A35" s="3">
        <v>35</v>
      </c>
      <c r="B35" s="5" t="s">
        <v>33</v>
      </c>
      <c r="C35" s="6">
        <v>1</v>
      </c>
    </row>
    <row r="36" spans="1:3" ht="21.75" x14ac:dyDescent="0.25">
      <c r="A36" s="3">
        <v>36</v>
      </c>
      <c r="B36" s="5" t="s">
        <v>34</v>
      </c>
      <c r="C36" s="6">
        <v>1</v>
      </c>
    </row>
    <row r="37" spans="1:3" ht="21.75" x14ac:dyDescent="0.25">
      <c r="A37" s="3">
        <v>37</v>
      </c>
      <c r="B37" s="5" t="s">
        <v>35</v>
      </c>
      <c r="C37" s="6">
        <v>1</v>
      </c>
    </row>
    <row r="38" spans="1:3" ht="21.75" x14ac:dyDescent="0.25">
      <c r="A38" s="3">
        <v>38</v>
      </c>
      <c r="B38" s="5" t="s">
        <v>36</v>
      </c>
      <c r="C38" s="6">
        <v>1</v>
      </c>
    </row>
    <row r="39" spans="1:3" ht="21.75" x14ac:dyDescent="0.25">
      <c r="A39" s="3">
        <v>39</v>
      </c>
      <c r="B39" s="5" t="s">
        <v>37</v>
      </c>
      <c r="C39" s="6">
        <v>1</v>
      </c>
    </row>
    <row r="40" spans="1:3" ht="21.75" x14ac:dyDescent="0.25">
      <c r="A40" s="10"/>
      <c r="B40" s="5" t="s">
        <v>38</v>
      </c>
      <c r="C40" s="6">
        <f>SUM(C2:C39)</f>
        <v>30</v>
      </c>
    </row>
  </sheetData>
  <hyperlinks>
    <hyperlink ref="B2" location="'فاطمه یزدی'!A1" display=" فاطمه یزدی" xr:uid="{57B681E8-E937-4F02-B07E-2516D40D7918}"/>
    <hyperlink ref="B3" location="'ابوالفضل بلندیان'!A1" display="ابوالفضل بلندیان" xr:uid="{C68CB1A8-5AF1-4554-990D-BD1CB2E7A0D0}"/>
    <hyperlink ref="B4" location="پویا!A1" display="محسن پویا " xr:uid="{7EF7DE18-FC1E-4B7F-9C15-6E37198B926B}"/>
    <hyperlink ref="B5" location="'هاشم حاجی قاسمی'!A1" display="هاشم حاجی قاسمی" xr:uid="{E20386FF-FB77-470C-A0DE-3C657EF36876}"/>
    <hyperlink ref="B14" location="'حمیده احمدی'!A1" display="حمیده احمدی" xr:uid="{C80BD820-CC2C-49E9-A771-453ADA198402}"/>
    <hyperlink ref="B7" location="'یوسف حاجی قاسمی'!A1" display="یوسف حاجی قاسمی" xr:uid="{37DBC638-C10C-4466-9388-48693C48E925}"/>
    <hyperlink ref="B6" location="'نرگس حاجی قاسمی'!A1" display="نرگس حاجی قاسمی" xr:uid="{4A234443-7E09-4FBB-8328-5DBD4EB99A44}"/>
    <hyperlink ref="B12" r:id="rId1" location="'مرتضی دزفولیان'!A1" xr:uid="{1F0658D9-0F11-4FC2-AF5A-B4D2B0AD126A}"/>
    <hyperlink ref="B11" r:id="rId2" location="'هادی مرادی'!A1" xr:uid="{7FB3EFF6-57EF-4219-A23B-1DD2386A29CB}"/>
    <hyperlink ref="B8" r:id="rId3" location="'اعظم خوانین زاده'!A1" xr:uid="{02C53116-28EB-4E93-8767-8AC22F0CA764}"/>
    <hyperlink ref="B9" r:id="rId4" location="'هاشم حاجی قاسمی'!A1" xr:uid="{E5476657-6661-403A-8EFC-526FFED9AFD4}"/>
    <hyperlink ref="B10" r:id="rId5" location="'ابوالفضل بلندیان'!A1" xr:uid="{8797BAE5-6DE2-4BB7-BF89-F2CF68F05488}"/>
    <hyperlink ref="B13" r:id="rId6" location="'امید علی حیدری'!A1" xr:uid="{792B5118-7980-4989-A0CC-772039267B4E}"/>
    <hyperlink ref="B15" r:id="rId7" location="'زهرا کریمی دهکردی'!A1" xr:uid="{9AE342F3-1C66-487C-ADC8-EF73ECBEC303}"/>
    <hyperlink ref="B16" r:id="rId8" location="'سیما صالح'!A1" xr:uid="{01CF605F-FB88-47BD-9619-8DD8552F7305}"/>
    <hyperlink ref="B30" r:id="rId9" location="'لیلا کریمی دهکردی'!A1" xr:uid="{D18C3FB0-E2D2-4FEB-B95E-86F2500574F9}"/>
    <hyperlink ref="B17" r:id="rId10" location="'نرجس خسروی'!A1" xr:uid="{B0136B5C-C390-4DBB-B824-DBB951F1B1C7}"/>
    <hyperlink ref="B18" r:id="rId11" location="'بهاره خسروی'!A1" xr:uid="{602FD12A-A4B3-45AE-8543-D36614AEE19F}"/>
    <hyperlink ref="B20" r:id="rId12" location="'کاظم عبدالهی'!A1" xr:uid="{FA117921-9B3E-4E96-B7E6-46DFF1CDBB1B}"/>
    <hyperlink ref="B19" r:id="rId13" location="چگینی!A1" xr:uid="{3B22B2A2-04D6-4229-A588-03F45EC2C8CD}"/>
    <hyperlink ref="B21" r:id="rId14" location="'مهدی آذری'!A1" xr:uid="{093F289D-C8AC-441D-9FC8-A773A2BE86A6}"/>
    <hyperlink ref="B31" r:id="rId15" location="'نرگس پرویز زاده'!A1" xr:uid="{D1FA3EB2-2931-44B6-B939-F360EEF409A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4577-F535-4905-B759-C379E31032E3}">
  <sheetPr>
    <tabColor rgb="FFFFFF00"/>
  </sheetPr>
  <dimension ref="A1:M54"/>
  <sheetViews>
    <sheetView rightToLeft="1" topLeftCell="A16" workbookViewId="0">
      <selection activeCell="I33" sqref="I33:I36"/>
    </sheetView>
  </sheetViews>
  <sheetFormatPr defaultRowHeight="15" x14ac:dyDescent="0.25"/>
  <cols>
    <col min="1" max="1" width="5.42578125" customWidth="1"/>
    <col min="2" max="3" width="14" customWidth="1"/>
    <col min="4" max="4" width="11.5703125" customWidth="1"/>
    <col min="5" max="5" width="20" customWidth="1"/>
    <col min="6" max="6" width="21.28515625" customWidth="1"/>
    <col min="7" max="7" width="28" customWidth="1"/>
    <col min="8" max="8" width="46" customWidth="1"/>
    <col min="9" max="10" width="18" customWidth="1"/>
    <col min="11" max="11" width="20" customWidth="1"/>
    <col min="12" max="12" width="13.85546875" customWidth="1"/>
    <col min="13" max="13" width="15" customWidth="1"/>
  </cols>
  <sheetData>
    <row r="1" spans="1:12" x14ac:dyDescent="0.25">
      <c r="B1" s="20" t="str">
        <f>'لیست اعضا'!$B$2</f>
        <v xml:space="preserve"> فاطمه یزدی</v>
      </c>
    </row>
    <row r="2" spans="1:12" x14ac:dyDescent="0.25">
      <c r="A2" s="52" t="s">
        <v>60</v>
      </c>
      <c r="B2" s="52" t="s">
        <v>61</v>
      </c>
      <c r="C2" s="52" t="s">
        <v>45</v>
      </c>
      <c r="D2" s="52" t="s">
        <v>40</v>
      </c>
      <c r="E2" s="52" t="s">
        <v>62</v>
      </c>
      <c r="F2" s="52" t="s">
        <v>63</v>
      </c>
      <c r="G2" s="52" t="s">
        <v>64</v>
      </c>
      <c r="H2" s="52" t="s">
        <v>65</v>
      </c>
      <c r="I2" s="52" t="s">
        <v>67</v>
      </c>
      <c r="J2" s="52" t="s">
        <v>69</v>
      </c>
      <c r="K2" s="52" t="s">
        <v>70</v>
      </c>
      <c r="L2" s="52" t="s">
        <v>58</v>
      </c>
    </row>
    <row r="3" spans="1:12" x14ac:dyDescent="0.25">
      <c r="A3" s="11">
        <v>1</v>
      </c>
      <c r="B3" s="11"/>
      <c r="C3" s="11"/>
      <c r="D3" s="11" t="s">
        <v>238</v>
      </c>
      <c r="E3" s="11" t="s">
        <v>241</v>
      </c>
      <c r="F3" s="12">
        <v>10181884</v>
      </c>
      <c r="G3" s="11"/>
      <c r="H3" s="11" t="s">
        <v>50</v>
      </c>
      <c r="I3" s="13">
        <v>500000000</v>
      </c>
      <c r="J3" s="11" t="s">
        <v>52</v>
      </c>
      <c r="K3" s="11" t="s">
        <v>78</v>
      </c>
      <c r="L3" s="11" t="s">
        <v>59</v>
      </c>
    </row>
    <row r="4" spans="1:12" x14ac:dyDescent="0.25">
      <c r="A4" s="11">
        <v>2</v>
      </c>
      <c r="B4" s="11"/>
      <c r="C4" s="11"/>
      <c r="D4" s="11" t="s">
        <v>239</v>
      </c>
      <c r="E4" s="53">
        <v>0.18611111111111112</v>
      </c>
      <c r="F4" s="12">
        <v>10283243</v>
      </c>
      <c r="G4" s="11"/>
      <c r="H4" s="11" t="s">
        <v>53</v>
      </c>
      <c r="I4" s="13">
        <v>1000000000</v>
      </c>
      <c r="J4" s="11" t="s">
        <v>52</v>
      </c>
      <c r="K4" s="11" t="s">
        <v>78</v>
      </c>
      <c r="L4" s="11" t="s">
        <v>59</v>
      </c>
    </row>
    <row r="5" spans="1:12" x14ac:dyDescent="0.25">
      <c r="A5" s="11">
        <v>3</v>
      </c>
      <c r="B5" s="11"/>
      <c r="C5" s="11"/>
      <c r="D5" s="11" t="s">
        <v>239</v>
      </c>
      <c r="E5" s="53">
        <v>0.79999999999999993</v>
      </c>
      <c r="F5" s="12">
        <v>10333257</v>
      </c>
      <c r="G5" s="11"/>
      <c r="H5" s="11" t="s">
        <v>55</v>
      </c>
      <c r="I5" s="13">
        <v>1000000000</v>
      </c>
      <c r="J5" s="11" t="s">
        <v>52</v>
      </c>
      <c r="K5" s="11" t="s">
        <v>78</v>
      </c>
      <c r="L5" s="11" t="s">
        <v>59</v>
      </c>
    </row>
    <row r="6" spans="1:12" x14ac:dyDescent="0.25">
      <c r="A6" s="11">
        <v>4</v>
      </c>
      <c r="B6" s="11"/>
      <c r="C6" s="11"/>
      <c r="D6" s="11" t="s">
        <v>240</v>
      </c>
      <c r="E6" s="53">
        <v>0.59027777777777779</v>
      </c>
      <c r="F6" s="12">
        <v>10558123</v>
      </c>
      <c r="G6" s="11"/>
      <c r="H6" s="11" t="s">
        <v>57</v>
      </c>
      <c r="I6" s="13">
        <v>250000000</v>
      </c>
      <c r="J6" s="11" t="s">
        <v>52</v>
      </c>
      <c r="K6" s="11" t="s">
        <v>78</v>
      </c>
      <c r="L6" s="11" t="s">
        <v>59</v>
      </c>
    </row>
    <row r="7" spans="1:12" x14ac:dyDescent="0.25">
      <c r="A7" s="11">
        <v>5</v>
      </c>
      <c r="B7" s="16" t="s">
        <v>71</v>
      </c>
      <c r="C7" s="16" t="s">
        <v>72</v>
      </c>
      <c r="D7" s="16" t="s">
        <v>73</v>
      </c>
      <c r="E7" s="16" t="s">
        <v>74</v>
      </c>
      <c r="F7" s="16" t="s">
        <v>75</v>
      </c>
      <c r="G7" s="16" t="s">
        <v>60</v>
      </c>
      <c r="H7" s="16" t="s">
        <v>76</v>
      </c>
      <c r="I7" s="13">
        <v>650000000</v>
      </c>
      <c r="J7" s="18" t="s">
        <v>77</v>
      </c>
      <c r="K7" s="11" t="s">
        <v>78</v>
      </c>
      <c r="L7" s="14" t="s">
        <v>236</v>
      </c>
    </row>
    <row r="8" spans="1:12" x14ac:dyDescent="0.25">
      <c r="A8" s="11">
        <v>6</v>
      </c>
      <c r="B8" s="54" t="s">
        <v>71</v>
      </c>
      <c r="C8" s="54" t="s">
        <v>72</v>
      </c>
      <c r="D8" s="54" t="s">
        <v>253</v>
      </c>
      <c r="E8" s="54" t="s">
        <v>254</v>
      </c>
      <c r="F8" s="54" t="s">
        <v>255</v>
      </c>
      <c r="G8" s="54" t="s">
        <v>60</v>
      </c>
      <c r="H8" s="54" t="s">
        <v>256</v>
      </c>
      <c r="I8" s="13">
        <v>600000000</v>
      </c>
      <c r="J8" s="18" t="s">
        <v>77</v>
      </c>
      <c r="K8" s="11" t="s">
        <v>78</v>
      </c>
      <c r="L8" s="14" t="s">
        <v>236</v>
      </c>
    </row>
    <row r="9" spans="1:12" x14ac:dyDescent="0.25">
      <c r="A9" s="11">
        <v>7</v>
      </c>
      <c r="B9" s="16" t="s">
        <v>71</v>
      </c>
      <c r="C9" s="16" t="s">
        <v>72</v>
      </c>
      <c r="D9" s="16" t="s">
        <v>79</v>
      </c>
      <c r="E9" s="16" t="s">
        <v>80</v>
      </c>
      <c r="F9" s="16" t="s">
        <v>81</v>
      </c>
      <c r="G9" s="16" t="s">
        <v>60</v>
      </c>
      <c r="H9" s="16" t="s">
        <v>82</v>
      </c>
      <c r="I9" s="13">
        <v>375000000</v>
      </c>
      <c r="J9" s="18" t="s">
        <v>77</v>
      </c>
      <c r="K9" s="11" t="s">
        <v>263</v>
      </c>
      <c r="L9" s="14" t="s">
        <v>236</v>
      </c>
    </row>
    <row r="10" spans="1:12" x14ac:dyDescent="0.25">
      <c r="A10" s="11">
        <v>8</v>
      </c>
      <c r="B10" s="16" t="s">
        <v>141</v>
      </c>
      <c r="C10" s="16" t="s">
        <v>142</v>
      </c>
      <c r="D10" s="16" t="s">
        <v>131</v>
      </c>
      <c r="E10" s="16" t="s">
        <v>264</v>
      </c>
      <c r="F10" s="16" t="s">
        <v>265</v>
      </c>
      <c r="G10" s="16" t="s">
        <v>60</v>
      </c>
      <c r="H10" s="17" t="s">
        <v>266</v>
      </c>
      <c r="I10" s="13">
        <v>375000000</v>
      </c>
      <c r="J10" s="18" t="s">
        <v>77</v>
      </c>
      <c r="K10" s="11" t="s">
        <v>267</v>
      </c>
      <c r="L10" s="14" t="s">
        <v>236</v>
      </c>
    </row>
    <row r="11" spans="1:12" x14ac:dyDescent="0.25">
      <c r="A11" s="11">
        <v>9</v>
      </c>
      <c r="B11" s="16" t="s">
        <v>141</v>
      </c>
      <c r="C11" s="16" t="s">
        <v>142</v>
      </c>
      <c r="D11" s="16" t="s">
        <v>143</v>
      </c>
      <c r="E11" s="16" t="s">
        <v>268</v>
      </c>
      <c r="F11" s="16" t="s">
        <v>269</v>
      </c>
      <c r="G11" s="16" t="s">
        <v>60</v>
      </c>
      <c r="H11" s="17" t="s">
        <v>270</v>
      </c>
      <c r="I11" s="13">
        <v>375000000</v>
      </c>
      <c r="J11" s="18" t="s">
        <v>77</v>
      </c>
      <c r="K11" s="11" t="s">
        <v>271</v>
      </c>
      <c r="L11" s="14" t="s">
        <v>236</v>
      </c>
    </row>
    <row r="12" spans="1:12" x14ac:dyDescent="0.25">
      <c r="A12" s="11">
        <v>10</v>
      </c>
      <c r="B12" s="17" t="s">
        <v>141</v>
      </c>
      <c r="C12" s="17" t="s">
        <v>142</v>
      </c>
      <c r="D12" s="17" t="s">
        <v>272</v>
      </c>
      <c r="E12" s="17" t="s">
        <v>273</v>
      </c>
      <c r="F12" s="16" t="s">
        <v>274</v>
      </c>
      <c r="G12" s="17" t="s">
        <v>60</v>
      </c>
      <c r="H12" s="17" t="s">
        <v>275</v>
      </c>
      <c r="I12" s="13">
        <v>355000000</v>
      </c>
      <c r="J12" s="18" t="s">
        <v>77</v>
      </c>
      <c r="K12" s="11" t="s">
        <v>276</v>
      </c>
      <c r="L12" s="14" t="s">
        <v>236</v>
      </c>
    </row>
    <row r="13" spans="1:12" x14ac:dyDescent="0.25">
      <c r="A13" s="11">
        <v>11</v>
      </c>
      <c r="B13" s="17" t="s">
        <v>144</v>
      </c>
      <c r="C13" s="17" t="s">
        <v>145</v>
      </c>
      <c r="D13" s="17" t="s">
        <v>272</v>
      </c>
      <c r="E13" s="17" t="s">
        <v>277</v>
      </c>
      <c r="F13" s="16" t="s">
        <v>278</v>
      </c>
      <c r="G13" s="17" t="s">
        <v>279</v>
      </c>
      <c r="H13" s="17" t="s">
        <v>280</v>
      </c>
      <c r="I13" s="13">
        <v>20000000</v>
      </c>
      <c r="J13" s="18" t="s">
        <v>77</v>
      </c>
      <c r="K13" s="11" t="s">
        <v>276</v>
      </c>
      <c r="L13" s="14" t="s">
        <v>236</v>
      </c>
    </row>
    <row r="14" spans="1:12" x14ac:dyDescent="0.25">
      <c r="A14" s="11">
        <v>12</v>
      </c>
      <c r="B14" s="17" t="s">
        <v>141</v>
      </c>
      <c r="C14" s="17" t="s">
        <v>142</v>
      </c>
      <c r="D14" s="17" t="s">
        <v>281</v>
      </c>
      <c r="E14" s="17" t="s">
        <v>282</v>
      </c>
      <c r="F14" s="16" t="s">
        <v>283</v>
      </c>
      <c r="G14" s="17"/>
      <c r="H14" s="17" t="s">
        <v>284</v>
      </c>
      <c r="I14" s="13">
        <v>375000000</v>
      </c>
      <c r="J14" s="18" t="s">
        <v>77</v>
      </c>
      <c r="K14" s="11" t="s">
        <v>285</v>
      </c>
      <c r="L14" s="14" t="s">
        <v>236</v>
      </c>
    </row>
    <row r="15" spans="1:12" x14ac:dyDescent="0.25">
      <c r="I15" s="17">
        <f>SUM(I3:I14)</f>
        <v>5875000000</v>
      </c>
    </row>
    <row r="31" spans="1:12" x14ac:dyDescent="0.25">
      <c r="B31" s="20" t="str">
        <f>'ابوالفضل بلندیان'!$B$1</f>
        <v>ابوالفضل بلندیان</v>
      </c>
    </row>
    <row r="32" spans="1:12" x14ac:dyDescent="0.25">
      <c r="A32" s="15" t="s">
        <v>60</v>
      </c>
      <c r="B32" s="15" t="s">
        <v>61</v>
      </c>
      <c r="C32" s="15" t="s">
        <v>45</v>
      </c>
      <c r="D32" s="15" t="s">
        <v>40</v>
      </c>
      <c r="E32" s="15" t="s">
        <v>62</v>
      </c>
      <c r="F32" s="15" t="s">
        <v>63</v>
      </c>
      <c r="G32" s="15" t="s">
        <v>64</v>
      </c>
      <c r="H32" s="15" t="s">
        <v>65</v>
      </c>
      <c r="I32" s="15" t="s">
        <v>67</v>
      </c>
      <c r="J32" s="15" t="s">
        <v>69</v>
      </c>
      <c r="K32" s="15" t="s">
        <v>70</v>
      </c>
      <c r="L32" s="15" t="s">
        <v>58</v>
      </c>
    </row>
    <row r="33" spans="1:13" x14ac:dyDescent="0.25">
      <c r="A33" s="11">
        <v>1</v>
      </c>
      <c r="B33" s="11"/>
      <c r="C33" s="11" t="s">
        <v>84</v>
      </c>
      <c r="D33" s="11" t="s">
        <v>257</v>
      </c>
      <c r="E33" s="53">
        <v>0.3527777777777778</v>
      </c>
      <c r="F33" s="11"/>
      <c r="G33" s="11"/>
      <c r="H33" s="11" t="s">
        <v>51</v>
      </c>
      <c r="I33" s="55">
        <v>1500000000</v>
      </c>
      <c r="J33" s="11" t="s">
        <v>4</v>
      </c>
      <c r="K33" s="11" t="s">
        <v>85</v>
      </c>
      <c r="L33" s="11" t="s">
        <v>59</v>
      </c>
    </row>
    <row r="34" spans="1:13" x14ac:dyDescent="0.25">
      <c r="A34" s="11">
        <v>2</v>
      </c>
      <c r="B34" s="11"/>
      <c r="C34" s="17" t="s">
        <v>72</v>
      </c>
      <c r="D34" s="17" t="s">
        <v>286</v>
      </c>
      <c r="E34" s="17" t="s">
        <v>287</v>
      </c>
      <c r="F34" s="16" t="s">
        <v>288</v>
      </c>
      <c r="G34" s="17" t="s">
        <v>289</v>
      </c>
      <c r="H34" s="17" t="s">
        <v>290</v>
      </c>
      <c r="I34" s="55">
        <v>375000000</v>
      </c>
      <c r="J34" s="11" t="s">
        <v>4</v>
      </c>
      <c r="K34" s="11" t="s">
        <v>85</v>
      </c>
      <c r="L34" s="11" t="s">
        <v>86</v>
      </c>
    </row>
    <row r="35" spans="1:13" x14ac:dyDescent="0.25">
      <c r="A35" s="11">
        <v>3</v>
      </c>
      <c r="B35" s="11"/>
      <c r="C35" s="11"/>
      <c r="D35" s="11"/>
      <c r="E35" s="11"/>
      <c r="F35" s="11"/>
      <c r="G35" s="11"/>
      <c r="H35" s="11" t="s">
        <v>175</v>
      </c>
      <c r="I35" s="55">
        <v>915000000</v>
      </c>
      <c r="J35" s="11" t="s">
        <v>4</v>
      </c>
      <c r="K35" s="11" t="s">
        <v>85</v>
      </c>
      <c r="L35" s="11" t="s">
        <v>193</v>
      </c>
    </row>
    <row r="36" spans="1:13" x14ac:dyDescent="0.25">
      <c r="A36" s="18" t="s">
        <v>291</v>
      </c>
      <c r="B36" s="23" t="s">
        <v>141</v>
      </c>
      <c r="C36" s="23" t="s">
        <v>258</v>
      </c>
      <c r="D36" s="23" t="s">
        <v>259</v>
      </c>
      <c r="E36" s="23" t="s">
        <v>260</v>
      </c>
      <c r="F36" s="23" t="s">
        <v>261</v>
      </c>
      <c r="G36" s="23" t="s">
        <v>71</v>
      </c>
      <c r="H36" s="24" t="s">
        <v>262</v>
      </c>
      <c r="I36" s="55">
        <v>1200000000</v>
      </c>
      <c r="J36" s="11" t="s">
        <v>4</v>
      </c>
      <c r="K36" s="11" t="s">
        <v>85</v>
      </c>
      <c r="L36" s="11" t="s">
        <v>167</v>
      </c>
    </row>
    <row r="37" spans="1:13" x14ac:dyDescent="0.25">
      <c r="A37" s="18">
        <v>57</v>
      </c>
      <c r="B37" s="23" t="s">
        <v>71</v>
      </c>
      <c r="C37" s="23" t="s">
        <v>72</v>
      </c>
      <c r="D37" s="23" t="s">
        <v>108</v>
      </c>
      <c r="E37" s="23" t="s">
        <v>115</v>
      </c>
      <c r="F37" s="23" t="s">
        <v>118</v>
      </c>
      <c r="G37" s="23" t="s">
        <v>60</v>
      </c>
      <c r="H37" s="24" t="s">
        <v>119</v>
      </c>
      <c r="I37" s="56">
        <v>375000000</v>
      </c>
      <c r="J37" s="26" t="s">
        <v>140</v>
      </c>
      <c r="K37" s="11" t="s">
        <v>114</v>
      </c>
      <c r="L37" s="11" t="s">
        <v>183</v>
      </c>
    </row>
    <row r="38" spans="1:13" x14ac:dyDescent="0.25">
      <c r="A38" s="18">
        <v>91</v>
      </c>
      <c r="B38" s="23" t="s">
        <v>71</v>
      </c>
      <c r="C38" s="23" t="s">
        <v>72</v>
      </c>
      <c r="D38" s="23" t="s">
        <v>131</v>
      </c>
      <c r="E38" s="23" t="s">
        <v>137</v>
      </c>
      <c r="F38" s="23" t="s">
        <v>138</v>
      </c>
      <c r="G38" s="23" t="s">
        <v>60</v>
      </c>
      <c r="H38" s="24" t="s">
        <v>139</v>
      </c>
      <c r="I38" s="56">
        <v>375000000</v>
      </c>
      <c r="J38" s="26" t="s">
        <v>140</v>
      </c>
      <c r="K38" s="11" t="s">
        <v>136</v>
      </c>
      <c r="L38" s="11" t="s">
        <v>183</v>
      </c>
    </row>
    <row r="39" spans="1:13" x14ac:dyDescent="0.25">
      <c r="A39" s="16">
        <v>167</v>
      </c>
      <c r="B39" s="16" t="s">
        <v>141</v>
      </c>
      <c r="C39" s="16" t="s">
        <v>142</v>
      </c>
      <c r="D39" s="16" t="s">
        <v>180</v>
      </c>
      <c r="E39" s="16" t="s">
        <v>181</v>
      </c>
      <c r="F39" s="16" t="s">
        <v>182</v>
      </c>
      <c r="G39" s="16" t="s">
        <v>71</v>
      </c>
      <c r="H39" s="17" t="s">
        <v>184</v>
      </c>
      <c r="I39" s="17">
        <v>375000000</v>
      </c>
      <c r="J39" s="11" t="s">
        <v>4</v>
      </c>
      <c r="K39" s="11" t="s">
        <v>166</v>
      </c>
      <c r="L39" s="11" t="s">
        <v>167</v>
      </c>
    </row>
    <row r="40" spans="1:13" x14ac:dyDescent="0.25">
      <c r="A40" s="18">
        <v>136</v>
      </c>
      <c r="B40" s="23" t="s">
        <v>144</v>
      </c>
      <c r="C40" s="23" t="s">
        <v>145</v>
      </c>
      <c r="D40" s="23" t="s">
        <v>151</v>
      </c>
      <c r="E40" s="23" t="s">
        <v>156</v>
      </c>
      <c r="F40" s="23" t="s">
        <v>157</v>
      </c>
      <c r="G40" s="23" t="s">
        <v>60</v>
      </c>
      <c r="H40" s="24" t="s">
        <v>158</v>
      </c>
      <c r="I40" s="56">
        <v>375000000</v>
      </c>
      <c r="J40" s="26" t="s">
        <v>140</v>
      </c>
      <c r="K40" s="11" t="s">
        <v>155</v>
      </c>
      <c r="L40" s="11" t="s">
        <v>183</v>
      </c>
    </row>
    <row r="41" spans="1:13" x14ac:dyDescent="0.25">
      <c r="A41" s="18">
        <v>165</v>
      </c>
      <c r="B41" s="23" t="s">
        <v>144</v>
      </c>
      <c r="C41" s="23" t="s">
        <v>145</v>
      </c>
      <c r="D41" s="23" t="s">
        <v>281</v>
      </c>
      <c r="E41" s="23" t="s">
        <v>308</v>
      </c>
      <c r="F41" s="23" t="s">
        <v>309</v>
      </c>
      <c r="G41" s="23" t="s">
        <v>60</v>
      </c>
      <c r="H41" s="24" t="s">
        <v>310</v>
      </c>
      <c r="I41" s="56">
        <v>375000000</v>
      </c>
      <c r="J41" s="18" t="s">
        <v>311</v>
      </c>
      <c r="K41" s="11" t="s">
        <v>303</v>
      </c>
      <c r="L41" s="11" t="s">
        <v>183</v>
      </c>
    </row>
    <row r="42" spans="1:13" x14ac:dyDescent="0.25">
      <c r="A42" s="11"/>
      <c r="B42" s="11"/>
      <c r="C42" s="11"/>
      <c r="D42" s="11"/>
      <c r="E42" s="11"/>
      <c r="F42" s="11"/>
      <c r="G42" s="11"/>
      <c r="H42" s="11"/>
      <c r="I42" s="11"/>
      <c r="J42" s="11"/>
      <c r="K42" s="11"/>
      <c r="L42" s="11"/>
    </row>
    <row r="47" spans="1:13" x14ac:dyDescent="0.25">
      <c r="A47" s="16">
        <v>125</v>
      </c>
      <c r="B47" s="16" t="s">
        <v>141</v>
      </c>
      <c r="C47" s="16" t="s">
        <v>142</v>
      </c>
      <c r="D47" s="16" t="s">
        <v>131</v>
      </c>
      <c r="E47" s="16" t="s">
        <v>292</v>
      </c>
      <c r="F47" s="16" t="s">
        <v>293</v>
      </c>
      <c r="G47" s="16" t="s">
        <v>71</v>
      </c>
      <c r="H47" s="17" t="s">
        <v>294</v>
      </c>
      <c r="I47" s="17">
        <v>0</v>
      </c>
      <c r="J47" s="17">
        <v>750000000</v>
      </c>
      <c r="K47" s="17">
        <v>2500194044</v>
      </c>
      <c r="L47" s="17" t="s">
        <v>295</v>
      </c>
      <c r="M47" s="11" t="s">
        <v>162</v>
      </c>
    </row>
    <row r="48" spans="1:13" x14ac:dyDescent="0.25">
      <c r="A48" s="16">
        <v>127</v>
      </c>
      <c r="B48" s="16" t="s">
        <v>141</v>
      </c>
      <c r="C48" s="16" t="s">
        <v>142</v>
      </c>
      <c r="D48" s="16" t="s">
        <v>131</v>
      </c>
      <c r="E48" s="16" t="s">
        <v>159</v>
      </c>
      <c r="F48" s="16" t="s">
        <v>160</v>
      </c>
      <c r="G48" s="16" t="s">
        <v>71</v>
      </c>
      <c r="H48" s="17" t="s">
        <v>161</v>
      </c>
      <c r="I48" s="17">
        <v>0</v>
      </c>
      <c r="J48" s="17">
        <v>750000000</v>
      </c>
      <c r="K48" s="17">
        <v>3750194044</v>
      </c>
      <c r="L48" s="11" t="s">
        <v>15</v>
      </c>
      <c r="M48" s="11" t="s">
        <v>162</v>
      </c>
    </row>
    <row r="49" spans="1:13" x14ac:dyDescent="0.25">
      <c r="A49" s="16">
        <v>161</v>
      </c>
      <c r="B49" s="16" t="s">
        <v>141</v>
      </c>
      <c r="C49" s="16" t="s">
        <v>142</v>
      </c>
      <c r="D49" s="16" t="s">
        <v>143</v>
      </c>
      <c r="E49" s="16" t="s">
        <v>163</v>
      </c>
      <c r="F49" s="16" t="s">
        <v>164</v>
      </c>
      <c r="G49" s="16" t="s">
        <v>71</v>
      </c>
      <c r="H49" s="17" t="s">
        <v>165</v>
      </c>
      <c r="I49" s="17">
        <v>0</v>
      </c>
      <c r="J49" s="17">
        <v>750000000</v>
      </c>
      <c r="K49" s="17">
        <v>1768041644</v>
      </c>
      <c r="L49" s="11" t="s">
        <v>15</v>
      </c>
      <c r="M49" s="11" t="s">
        <v>166</v>
      </c>
    </row>
    <row r="50" spans="1:13" x14ac:dyDescent="0.25">
      <c r="A50" s="16">
        <v>162</v>
      </c>
      <c r="B50" s="16" t="s">
        <v>141</v>
      </c>
      <c r="C50" s="16" t="s">
        <v>142</v>
      </c>
      <c r="D50" s="16" t="s">
        <v>143</v>
      </c>
      <c r="E50" s="16" t="s">
        <v>296</v>
      </c>
      <c r="F50" s="16" t="s">
        <v>297</v>
      </c>
      <c r="G50" s="16" t="s">
        <v>71</v>
      </c>
      <c r="H50" s="17" t="s">
        <v>184</v>
      </c>
      <c r="I50" s="17">
        <v>0</v>
      </c>
      <c r="J50" s="17">
        <v>750000000</v>
      </c>
      <c r="K50" s="17">
        <v>2518041644</v>
      </c>
      <c r="L50" s="17" t="s">
        <v>295</v>
      </c>
      <c r="M50" s="11" t="s">
        <v>166</v>
      </c>
    </row>
    <row r="51" spans="1:13" x14ac:dyDescent="0.25">
      <c r="A51" s="16">
        <v>167</v>
      </c>
      <c r="B51" s="16" t="s">
        <v>141</v>
      </c>
      <c r="C51" s="16" t="s">
        <v>142</v>
      </c>
      <c r="D51" s="16" t="s">
        <v>180</v>
      </c>
      <c r="E51" s="16" t="s">
        <v>181</v>
      </c>
      <c r="F51" s="16" t="s">
        <v>182</v>
      </c>
      <c r="G51" s="16" t="s">
        <v>71</v>
      </c>
      <c r="H51" s="17" t="s">
        <v>184</v>
      </c>
      <c r="I51" s="17">
        <v>0</v>
      </c>
      <c r="J51" s="17">
        <v>375000000</v>
      </c>
      <c r="K51" s="17">
        <v>4143041644</v>
      </c>
      <c r="L51" s="11" t="s">
        <v>4</v>
      </c>
      <c r="M51" s="11" t="s">
        <v>166</v>
      </c>
    </row>
    <row r="52" spans="1:13" x14ac:dyDescent="0.25">
      <c r="A52" s="16">
        <v>169</v>
      </c>
      <c r="B52" s="16" t="s">
        <v>141</v>
      </c>
      <c r="C52" s="16" t="s">
        <v>142</v>
      </c>
      <c r="D52" s="16" t="s">
        <v>180</v>
      </c>
      <c r="E52" s="16" t="s">
        <v>298</v>
      </c>
      <c r="F52" s="16" t="s">
        <v>299</v>
      </c>
      <c r="G52" s="16" t="s">
        <v>71</v>
      </c>
      <c r="H52" s="17" t="s">
        <v>165</v>
      </c>
      <c r="I52" s="17">
        <v>0</v>
      </c>
      <c r="J52" s="17">
        <v>375000000</v>
      </c>
      <c r="K52" s="17">
        <v>5268041644</v>
      </c>
      <c r="L52" s="17" t="s">
        <v>295</v>
      </c>
      <c r="M52" s="11" t="s">
        <v>166</v>
      </c>
    </row>
    <row r="53" spans="1:13" x14ac:dyDescent="0.25">
      <c r="A53" s="16">
        <v>217</v>
      </c>
      <c r="B53" s="17" t="s">
        <v>141</v>
      </c>
      <c r="C53" s="17" t="s">
        <v>142</v>
      </c>
      <c r="D53" s="17" t="s">
        <v>281</v>
      </c>
      <c r="E53" s="17" t="s">
        <v>300</v>
      </c>
      <c r="F53" s="16" t="s">
        <v>301</v>
      </c>
      <c r="G53" s="17" t="s">
        <v>71</v>
      </c>
      <c r="H53" s="17" t="s">
        <v>302</v>
      </c>
      <c r="I53" s="17">
        <v>0</v>
      </c>
      <c r="J53" s="17">
        <v>750000000</v>
      </c>
      <c r="K53" s="17">
        <v>7054429882</v>
      </c>
      <c r="L53" s="16" t="s">
        <v>295</v>
      </c>
      <c r="M53" s="17" t="s">
        <v>303</v>
      </c>
    </row>
    <row r="54" spans="1:13" x14ac:dyDescent="0.25">
      <c r="A54" s="16">
        <v>218</v>
      </c>
      <c r="B54" s="17" t="s">
        <v>141</v>
      </c>
      <c r="C54" s="17" t="s">
        <v>142</v>
      </c>
      <c r="D54" s="17" t="s">
        <v>281</v>
      </c>
      <c r="E54" s="17" t="s">
        <v>304</v>
      </c>
      <c r="F54" s="16" t="s">
        <v>305</v>
      </c>
      <c r="G54" s="17" t="s">
        <v>71</v>
      </c>
      <c r="H54" s="17" t="s">
        <v>306</v>
      </c>
      <c r="I54" s="17">
        <v>0</v>
      </c>
      <c r="J54" s="17">
        <v>750000000</v>
      </c>
      <c r="K54" s="17">
        <v>7804429882</v>
      </c>
      <c r="L54" s="16" t="s">
        <v>4</v>
      </c>
      <c r="M54" s="17" t="s">
        <v>303</v>
      </c>
    </row>
  </sheetData>
  <hyperlinks>
    <hyperlink ref="B1" location="'لیست اعضا'!A1" display="'لیست اعضا'!A1" xr:uid="{5E871D51-44C8-4E57-A609-95F04872F60F}"/>
    <hyperlink ref="B31" r:id="rId1" location="'اعضای اصلی'!A1" display="صورتحساب 246- 14040306.xlsx - 'اعضای اصلی'!A1" xr:uid="{57201DAD-19DA-4425-B035-CE27876F97BF}"/>
  </hyperlinks>
  <pageMargins left="0.7" right="0.7" top="0.75" bottom="0.75" header="0.3" footer="0.3"/>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B124E-BC78-4AAF-A17C-0BA75709C8E2}">
  <dimension ref="A1:O47"/>
  <sheetViews>
    <sheetView rightToLeft="1" zoomScale="90" zoomScaleNormal="90" workbookViewId="0">
      <selection activeCell="C6" sqref="C6"/>
    </sheetView>
  </sheetViews>
  <sheetFormatPr defaultRowHeight="15" x14ac:dyDescent="0.25"/>
  <cols>
    <col min="1" max="1" width="6.28515625" customWidth="1"/>
    <col min="2" max="3" width="14" customWidth="1"/>
    <col min="4" max="4" width="12.5703125" customWidth="1"/>
    <col min="5" max="5" width="13.42578125" customWidth="1"/>
    <col min="6" max="6" width="14.85546875" customWidth="1"/>
    <col min="7" max="7" width="28" customWidth="1"/>
    <col min="8" max="8" width="17.7109375" bestFit="1" customWidth="1"/>
    <col min="9" max="9" width="46" customWidth="1"/>
    <col min="10" max="12" width="18" customWidth="1"/>
    <col min="13" max="13" width="36.7109375" customWidth="1"/>
    <col min="14" max="14" width="16.5703125" customWidth="1"/>
  </cols>
  <sheetData>
    <row r="1" spans="1:13" x14ac:dyDescent="0.25">
      <c r="B1" s="20" t="str">
        <f>'لیست اعضا'!$B$3</f>
        <v>ابوالفضل بلندیان</v>
      </c>
    </row>
    <row r="2" spans="1:13" x14ac:dyDescent="0.25">
      <c r="B2" s="20"/>
      <c r="C2" t="s">
        <v>176</v>
      </c>
    </row>
    <row r="3" spans="1:13" x14ac:dyDescent="0.25">
      <c r="A3" s="11" t="s">
        <v>0</v>
      </c>
      <c r="B3" s="11" t="s">
        <v>40</v>
      </c>
      <c r="C3" s="11" t="s">
        <v>41</v>
      </c>
      <c r="D3" s="11" t="s">
        <v>42</v>
      </c>
      <c r="E3" s="11" t="s">
        <v>43</v>
      </c>
      <c r="F3" s="11" t="s">
        <v>44</v>
      </c>
      <c r="G3" s="11" t="s">
        <v>45</v>
      </c>
      <c r="H3" s="11" t="s">
        <v>46</v>
      </c>
      <c r="I3" s="11" t="s">
        <v>47</v>
      </c>
      <c r="J3" s="11" t="s">
        <v>48</v>
      </c>
      <c r="K3" s="11" t="s">
        <v>49</v>
      </c>
      <c r="L3" s="11"/>
      <c r="M3" s="11" t="s">
        <v>58</v>
      </c>
    </row>
    <row r="4" spans="1:13" x14ac:dyDescent="0.25">
      <c r="A4" s="11">
        <v>58</v>
      </c>
      <c r="B4" s="11" t="s">
        <v>83</v>
      </c>
      <c r="C4" s="11" t="s">
        <v>84</v>
      </c>
      <c r="D4" s="12">
        <v>10857562</v>
      </c>
      <c r="E4" s="11"/>
      <c r="F4" s="11"/>
      <c r="G4" s="11" t="s">
        <v>51</v>
      </c>
      <c r="H4" s="32">
        <v>1500000000</v>
      </c>
      <c r="I4" s="13">
        <v>0</v>
      </c>
      <c r="J4" s="13">
        <v>32200098179</v>
      </c>
      <c r="K4" s="11" t="s">
        <v>4</v>
      </c>
      <c r="L4" s="11" t="s">
        <v>85</v>
      </c>
      <c r="M4" s="11" t="s">
        <v>59</v>
      </c>
    </row>
    <row r="5" spans="1:13" x14ac:dyDescent="0.25">
      <c r="A5" s="11"/>
      <c r="B5" s="11"/>
      <c r="C5" s="11" t="s">
        <v>171</v>
      </c>
      <c r="D5" s="11"/>
      <c r="E5" s="11"/>
      <c r="F5" s="11"/>
      <c r="G5" s="11"/>
      <c r="H5" s="32">
        <v>375000000</v>
      </c>
      <c r="I5" s="11"/>
      <c r="J5" s="11"/>
      <c r="K5" s="11"/>
      <c r="L5" s="11"/>
      <c r="M5" s="11" t="s">
        <v>236</v>
      </c>
    </row>
    <row r="6" spans="1:13" ht="20.25" customHeight="1" x14ac:dyDescent="0.25">
      <c r="A6" s="11"/>
      <c r="B6" s="11"/>
      <c r="C6" s="50" t="s">
        <v>175</v>
      </c>
      <c r="D6" s="11"/>
      <c r="E6" s="11"/>
      <c r="F6" s="11"/>
      <c r="G6" s="11"/>
      <c r="H6" s="32">
        <v>915000000</v>
      </c>
      <c r="I6" s="11"/>
      <c r="J6" s="11"/>
      <c r="K6" s="11"/>
      <c r="L6" s="11"/>
      <c r="M6" s="11" t="s">
        <v>237</v>
      </c>
    </row>
    <row r="7" spans="1:13" ht="20.25" customHeight="1" x14ac:dyDescent="0.25">
      <c r="A7" s="11"/>
      <c r="B7" s="11"/>
      <c r="C7" s="50"/>
      <c r="D7" s="11"/>
      <c r="E7" s="11"/>
      <c r="F7" s="11"/>
      <c r="G7" s="11"/>
      <c r="H7" s="32">
        <v>1200000000</v>
      </c>
      <c r="I7" s="11"/>
      <c r="J7" s="11"/>
      <c r="K7" s="11"/>
      <c r="L7" s="11"/>
      <c r="M7" s="11" t="s">
        <v>167</v>
      </c>
    </row>
    <row r="8" spans="1:13" x14ac:dyDescent="0.25">
      <c r="A8" s="11"/>
      <c r="B8" s="11"/>
      <c r="C8" s="11"/>
      <c r="D8" s="11"/>
      <c r="E8" s="11"/>
      <c r="F8" s="11"/>
      <c r="G8" s="11" t="s">
        <v>172</v>
      </c>
      <c r="H8" s="51">
        <f>SUM(H4:H7)</f>
        <v>3990000000</v>
      </c>
      <c r="I8" s="11"/>
      <c r="J8" s="11"/>
      <c r="K8" s="11"/>
      <c r="L8" s="11"/>
      <c r="M8" s="11"/>
    </row>
    <row r="9" spans="1:13" x14ac:dyDescent="0.25">
      <c r="A9" s="11"/>
      <c r="B9" s="11"/>
      <c r="C9" s="11"/>
      <c r="D9" s="11"/>
      <c r="E9" s="11"/>
      <c r="F9" s="11"/>
      <c r="G9" s="11" t="s">
        <v>173</v>
      </c>
      <c r="H9" s="32">
        <v>4000000000</v>
      </c>
      <c r="I9" s="11"/>
      <c r="J9" s="11"/>
      <c r="K9" s="11"/>
      <c r="L9" s="11"/>
      <c r="M9" s="11"/>
    </row>
    <row r="10" spans="1:13" x14ac:dyDescent="0.25">
      <c r="A10" s="11"/>
      <c r="B10" s="11"/>
      <c r="C10" s="11"/>
      <c r="D10" s="11"/>
      <c r="E10" s="11"/>
      <c r="F10" s="11"/>
      <c r="G10" s="11" t="s">
        <v>174</v>
      </c>
      <c r="H10" s="51">
        <f>H9-H8</f>
        <v>10000000</v>
      </c>
      <c r="I10" s="11"/>
      <c r="J10" s="11"/>
      <c r="K10" s="11"/>
      <c r="L10" s="11"/>
      <c r="M10" s="11"/>
    </row>
    <row r="14" spans="1:13" x14ac:dyDescent="0.25">
      <c r="B14" s="20"/>
      <c r="C14" t="s">
        <v>177</v>
      </c>
    </row>
    <row r="15" spans="1:13" x14ac:dyDescent="0.25">
      <c r="A15" s="11" t="s">
        <v>0</v>
      </c>
      <c r="B15" s="11" t="s">
        <v>40</v>
      </c>
      <c r="C15" s="11" t="s">
        <v>41</v>
      </c>
      <c r="D15" s="11" t="s">
        <v>42</v>
      </c>
      <c r="E15" s="11" t="s">
        <v>43</v>
      </c>
      <c r="F15" s="11" t="s">
        <v>44</v>
      </c>
      <c r="G15" s="11" t="s">
        <v>45</v>
      </c>
      <c r="H15" s="11" t="s">
        <v>46</v>
      </c>
      <c r="I15" s="11" t="s">
        <v>47</v>
      </c>
      <c r="J15" s="11" t="s">
        <v>48</v>
      </c>
      <c r="K15" s="11" t="s">
        <v>49</v>
      </c>
      <c r="L15" s="11"/>
      <c r="M15" s="11" t="s">
        <v>58</v>
      </c>
    </row>
    <row r="16" spans="1:13" x14ac:dyDescent="0.25">
      <c r="A16" s="11"/>
      <c r="B16" s="11"/>
      <c r="C16" s="11"/>
      <c r="D16" s="11"/>
      <c r="E16" s="11"/>
      <c r="F16" s="11"/>
      <c r="G16" s="11" t="s">
        <v>178</v>
      </c>
      <c r="H16" s="11">
        <v>2000000000</v>
      </c>
      <c r="I16" s="11"/>
      <c r="J16" s="11"/>
      <c r="K16" s="11"/>
      <c r="L16" s="11"/>
      <c r="M16" s="11" t="s">
        <v>167</v>
      </c>
    </row>
    <row r="17" spans="1:13" x14ac:dyDescent="0.25">
      <c r="A17" s="11"/>
      <c r="B17" s="11"/>
      <c r="C17" s="11"/>
      <c r="D17" s="11"/>
      <c r="E17" s="11"/>
      <c r="F17" s="11"/>
      <c r="G17" s="11" t="s">
        <v>179</v>
      </c>
      <c r="H17" s="32">
        <v>2000000000</v>
      </c>
      <c r="I17" s="11"/>
      <c r="J17" s="11"/>
      <c r="K17" s="11"/>
      <c r="L17" s="11"/>
      <c r="M17" s="11"/>
    </row>
    <row r="18" spans="1:13" x14ac:dyDescent="0.25">
      <c r="A18" s="11"/>
      <c r="B18" s="11"/>
      <c r="C18" s="11"/>
      <c r="D18" s="11"/>
      <c r="E18" s="11"/>
      <c r="F18" s="11"/>
      <c r="G18" s="11" t="s">
        <v>174</v>
      </c>
      <c r="H18" s="51">
        <f>H17-H16</f>
        <v>0</v>
      </c>
      <c r="I18" s="11"/>
      <c r="J18" s="11"/>
      <c r="K18" s="11"/>
      <c r="L18" s="11"/>
      <c r="M18" s="11"/>
    </row>
    <row r="27" spans="1:13" x14ac:dyDescent="0.25">
      <c r="A27" s="11" t="s">
        <v>0</v>
      </c>
      <c r="B27" s="11" t="s">
        <v>40</v>
      </c>
      <c r="C27" s="11" t="s">
        <v>41</v>
      </c>
      <c r="D27" s="11" t="s">
        <v>42</v>
      </c>
      <c r="E27" s="11" t="s">
        <v>43</v>
      </c>
      <c r="F27" s="11" t="s">
        <v>44</v>
      </c>
      <c r="G27" s="11" t="s">
        <v>45</v>
      </c>
      <c r="H27" s="11" t="s">
        <v>46</v>
      </c>
      <c r="I27" s="11" t="s">
        <v>47</v>
      </c>
      <c r="J27" s="11" t="s">
        <v>48</v>
      </c>
      <c r="K27" s="11" t="s">
        <v>49</v>
      </c>
    </row>
    <row r="28" spans="1:13" x14ac:dyDescent="0.25">
      <c r="A28" s="11">
        <v>118</v>
      </c>
      <c r="B28" s="11" t="s">
        <v>87</v>
      </c>
      <c r="C28" s="11" t="s">
        <v>88</v>
      </c>
      <c r="D28" s="12" t="s">
        <v>89</v>
      </c>
      <c r="E28" s="11"/>
      <c r="F28" s="11"/>
      <c r="G28" s="11" t="s">
        <v>90</v>
      </c>
      <c r="H28" s="13">
        <v>4000000000</v>
      </c>
      <c r="I28" s="13">
        <v>0</v>
      </c>
      <c r="J28" s="13">
        <v>17008483376</v>
      </c>
      <c r="K28" s="11" t="s">
        <v>4</v>
      </c>
      <c r="L28" t="s">
        <v>91</v>
      </c>
    </row>
    <row r="29" spans="1:13" x14ac:dyDescent="0.25">
      <c r="A29" s="11">
        <v>120</v>
      </c>
      <c r="B29" s="11" t="s">
        <v>92</v>
      </c>
      <c r="C29" s="11" t="s">
        <v>93</v>
      </c>
      <c r="D29" s="12" t="s">
        <v>94</v>
      </c>
      <c r="E29" s="11"/>
      <c r="F29" s="11"/>
      <c r="G29" s="11" t="s">
        <v>51</v>
      </c>
      <c r="H29" s="13">
        <v>1000000000</v>
      </c>
      <c r="I29" s="13">
        <v>0</v>
      </c>
      <c r="J29" s="13">
        <v>19508483376</v>
      </c>
      <c r="K29" s="11" t="s">
        <v>4</v>
      </c>
      <c r="L29" t="s">
        <v>91</v>
      </c>
    </row>
    <row r="30" spans="1:13" x14ac:dyDescent="0.25">
      <c r="A30" s="11">
        <v>121</v>
      </c>
      <c r="B30" s="11" t="s">
        <v>95</v>
      </c>
      <c r="C30" s="11" t="s">
        <v>96</v>
      </c>
      <c r="D30" s="12" t="s">
        <v>97</v>
      </c>
      <c r="E30" s="11" t="s">
        <v>98</v>
      </c>
      <c r="F30" s="11" t="s">
        <v>99</v>
      </c>
      <c r="G30" s="11" t="s">
        <v>100</v>
      </c>
      <c r="H30" s="13">
        <v>10000000000</v>
      </c>
      <c r="I30" s="13">
        <v>0</v>
      </c>
      <c r="J30" s="13">
        <v>29508483376</v>
      </c>
      <c r="K30" s="11" t="s">
        <v>4</v>
      </c>
      <c r="L30" t="s">
        <v>91</v>
      </c>
    </row>
    <row r="31" spans="1:13" x14ac:dyDescent="0.25">
      <c r="A31" s="11">
        <v>123</v>
      </c>
      <c r="B31" s="11" t="s">
        <v>101</v>
      </c>
      <c r="C31" s="11" t="s">
        <v>102</v>
      </c>
      <c r="D31" s="12" t="s">
        <v>103</v>
      </c>
      <c r="E31" s="11"/>
      <c r="F31" s="11"/>
      <c r="G31" s="11" t="s">
        <v>51</v>
      </c>
      <c r="H31" s="13">
        <v>4000000000</v>
      </c>
      <c r="I31" s="13">
        <v>0</v>
      </c>
      <c r="J31" s="13">
        <v>33687483376</v>
      </c>
      <c r="K31" s="11" t="s">
        <v>4</v>
      </c>
      <c r="L31" t="s">
        <v>91</v>
      </c>
    </row>
    <row r="32" spans="1:13" x14ac:dyDescent="0.25">
      <c r="A32" s="11">
        <v>127</v>
      </c>
      <c r="B32" s="11" t="s">
        <v>104</v>
      </c>
      <c r="C32" s="11" t="s">
        <v>105</v>
      </c>
      <c r="D32" s="12" t="s">
        <v>106</v>
      </c>
      <c r="E32" s="11"/>
      <c r="F32" s="11"/>
      <c r="G32" s="11" t="s">
        <v>51</v>
      </c>
      <c r="H32" s="13">
        <v>1000000000</v>
      </c>
      <c r="I32" s="13">
        <v>0</v>
      </c>
      <c r="J32" s="13">
        <v>45997483376</v>
      </c>
      <c r="K32" s="11" t="s">
        <v>4</v>
      </c>
      <c r="L32" t="s">
        <v>91</v>
      </c>
    </row>
    <row r="39" spans="1:15" x14ac:dyDescent="0.25">
      <c r="A39" s="15" t="s">
        <v>60</v>
      </c>
      <c r="B39" s="15" t="s">
        <v>61</v>
      </c>
      <c r="C39" s="15" t="s">
        <v>45</v>
      </c>
      <c r="D39" s="15" t="s">
        <v>40</v>
      </c>
      <c r="E39" s="15" t="s">
        <v>62</v>
      </c>
      <c r="F39" s="15" t="s">
        <v>63</v>
      </c>
      <c r="G39" s="15" t="s">
        <v>64</v>
      </c>
      <c r="H39" s="15" t="s">
        <v>107</v>
      </c>
      <c r="I39" s="15" t="s">
        <v>65</v>
      </c>
      <c r="J39" s="15" t="s">
        <v>66</v>
      </c>
      <c r="K39" s="15" t="s">
        <v>67</v>
      </c>
      <c r="L39" s="15" t="s">
        <v>68</v>
      </c>
      <c r="M39" s="15" t="s">
        <v>69</v>
      </c>
      <c r="N39" s="15" t="s">
        <v>307</v>
      </c>
      <c r="O39" s="15" t="s">
        <v>58</v>
      </c>
    </row>
    <row r="40" spans="1:15" x14ac:dyDescent="0.25">
      <c r="A40" s="18">
        <v>56</v>
      </c>
      <c r="B40" s="23" t="s">
        <v>71</v>
      </c>
      <c r="C40" s="23" t="s">
        <v>72</v>
      </c>
      <c r="D40" s="23" t="s">
        <v>108</v>
      </c>
      <c r="E40" s="23" t="s">
        <v>115</v>
      </c>
      <c r="F40" s="23" t="s">
        <v>116</v>
      </c>
      <c r="G40" s="23" t="s">
        <v>60</v>
      </c>
      <c r="H40" s="18" t="s">
        <v>111</v>
      </c>
      <c r="I40" s="24" t="s">
        <v>117</v>
      </c>
      <c r="J40" s="25">
        <v>0</v>
      </c>
      <c r="K40" s="25">
        <v>187500000</v>
      </c>
      <c r="L40" s="25">
        <v>3212530000</v>
      </c>
      <c r="M40" s="26" t="s">
        <v>135</v>
      </c>
      <c r="N40" t="s">
        <v>114</v>
      </c>
      <c r="O40" t="s">
        <v>183</v>
      </c>
    </row>
    <row r="41" spans="1:15" x14ac:dyDescent="0.25">
      <c r="A41" s="18">
        <v>57</v>
      </c>
      <c r="B41" s="23" t="s">
        <v>71</v>
      </c>
      <c r="C41" s="23" t="s">
        <v>72</v>
      </c>
      <c r="D41" s="23" t="s">
        <v>108</v>
      </c>
      <c r="E41" s="23" t="s">
        <v>115</v>
      </c>
      <c r="F41" s="23" t="s">
        <v>118</v>
      </c>
      <c r="G41" s="23" t="s">
        <v>60</v>
      </c>
      <c r="H41" s="18" t="s">
        <v>111</v>
      </c>
      <c r="I41" s="24" t="s">
        <v>119</v>
      </c>
      <c r="J41" s="25">
        <v>0</v>
      </c>
      <c r="K41" s="25">
        <v>375000000</v>
      </c>
      <c r="L41" s="25">
        <v>3587530000</v>
      </c>
      <c r="M41" s="26" t="s">
        <v>140</v>
      </c>
      <c r="N41" t="s">
        <v>114</v>
      </c>
      <c r="O41" t="s">
        <v>183</v>
      </c>
    </row>
    <row r="42" spans="1:15" x14ac:dyDescent="0.25">
      <c r="A42" s="18">
        <v>90</v>
      </c>
      <c r="B42" s="23" t="s">
        <v>71</v>
      </c>
      <c r="C42" s="23" t="s">
        <v>72</v>
      </c>
      <c r="D42" s="23" t="s">
        <v>131</v>
      </c>
      <c r="E42" s="23" t="s">
        <v>132</v>
      </c>
      <c r="F42" s="23" t="s">
        <v>133</v>
      </c>
      <c r="G42" s="23" t="s">
        <v>60</v>
      </c>
      <c r="H42" s="18" t="s">
        <v>60</v>
      </c>
      <c r="I42" s="24" t="s">
        <v>134</v>
      </c>
      <c r="J42" s="25">
        <v>0</v>
      </c>
      <c r="K42" s="25">
        <v>187500000</v>
      </c>
      <c r="L42" s="25">
        <v>1675165600</v>
      </c>
      <c r="M42" s="26" t="s">
        <v>135</v>
      </c>
      <c r="N42" t="s">
        <v>136</v>
      </c>
      <c r="O42" t="s">
        <v>183</v>
      </c>
    </row>
    <row r="43" spans="1:15" x14ac:dyDescent="0.25">
      <c r="A43" s="18">
        <v>91</v>
      </c>
      <c r="B43" s="23" t="s">
        <v>71</v>
      </c>
      <c r="C43" s="23" t="s">
        <v>72</v>
      </c>
      <c r="D43" s="23" t="s">
        <v>131</v>
      </c>
      <c r="E43" s="23" t="s">
        <v>137</v>
      </c>
      <c r="F43" s="23" t="s">
        <v>138</v>
      </c>
      <c r="G43" s="23" t="s">
        <v>60</v>
      </c>
      <c r="H43" s="18" t="s">
        <v>60</v>
      </c>
      <c r="I43" s="24" t="s">
        <v>139</v>
      </c>
      <c r="J43" s="25">
        <v>0</v>
      </c>
      <c r="K43" s="25">
        <v>375000000</v>
      </c>
      <c r="L43" s="25">
        <v>2050165600</v>
      </c>
      <c r="M43" s="26" t="s">
        <v>140</v>
      </c>
      <c r="N43" t="s">
        <v>136</v>
      </c>
      <c r="O43" t="s">
        <v>183</v>
      </c>
    </row>
    <row r="44" spans="1:15" x14ac:dyDescent="0.25">
      <c r="A44" s="18">
        <v>110</v>
      </c>
      <c r="B44" s="23" t="s">
        <v>144</v>
      </c>
      <c r="C44" s="23" t="s">
        <v>145</v>
      </c>
      <c r="D44" s="23" t="s">
        <v>146</v>
      </c>
      <c r="E44" s="23" t="s">
        <v>147</v>
      </c>
      <c r="F44" s="23" t="s">
        <v>148</v>
      </c>
      <c r="G44" s="23" t="s">
        <v>60</v>
      </c>
      <c r="H44" s="18" t="s">
        <v>60</v>
      </c>
      <c r="I44" s="24" t="s">
        <v>149</v>
      </c>
      <c r="J44" s="25">
        <v>0</v>
      </c>
      <c r="K44" s="25">
        <v>187500000</v>
      </c>
      <c r="L44" s="25">
        <v>1112505400</v>
      </c>
      <c r="M44" s="26" t="s">
        <v>135</v>
      </c>
      <c r="N44" t="s">
        <v>150</v>
      </c>
      <c r="O44" t="s">
        <v>183</v>
      </c>
    </row>
    <row r="45" spans="1:15" x14ac:dyDescent="0.25">
      <c r="A45" s="16">
        <v>167</v>
      </c>
      <c r="B45" s="16" t="s">
        <v>141</v>
      </c>
      <c r="C45" s="16" t="s">
        <v>142</v>
      </c>
      <c r="D45" s="16" t="s">
        <v>180</v>
      </c>
      <c r="E45" s="16" t="s">
        <v>181</v>
      </c>
      <c r="F45" s="16" t="s">
        <v>182</v>
      </c>
      <c r="G45" s="16" t="s">
        <v>71</v>
      </c>
      <c r="I45" s="17" t="s">
        <v>184</v>
      </c>
      <c r="J45" s="17">
        <v>0</v>
      </c>
      <c r="K45" s="17">
        <v>375000000</v>
      </c>
      <c r="L45" s="17">
        <v>4143041644</v>
      </c>
      <c r="M45" s="11" t="s">
        <v>4</v>
      </c>
      <c r="N45" s="11" t="s">
        <v>166</v>
      </c>
      <c r="O45" t="s">
        <v>185</v>
      </c>
    </row>
    <row r="46" spans="1:15" x14ac:dyDescent="0.25">
      <c r="A46" s="27">
        <v>134</v>
      </c>
      <c r="B46" s="28" t="s">
        <v>144</v>
      </c>
      <c r="C46" s="28" t="s">
        <v>145</v>
      </c>
      <c r="D46" s="28" t="s">
        <v>151</v>
      </c>
      <c r="E46" s="28" t="s">
        <v>152</v>
      </c>
      <c r="F46" s="28" t="s">
        <v>153</v>
      </c>
      <c r="G46" s="28" t="s">
        <v>60</v>
      </c>
      <c r="H46" s="27" t="s">
        <v>60</v>
      </c>
      <c r="I46" s="29" t="s">
        <v>154</v>
      </c>
      <c r="J46" s="30">
        <v>0</v>
      </c>
      <c r="K46" s="30">
        <v>185000000</v>
      </c>
      <c r="L46" s="30">
        <v>1736637132</v>
      </c>
      <c r="M46" s="26" t="s">
        <v>135</v>
      </c>
      <c r="N46" t="s">
        <v>155</v>
      </c>
      <c r="O46" t="s">
        <v>183</v>
      </c>
    </row>
    <row r="47" spans="1:15" x14ac:dyDescent="0.25">
      <c r="A47" s="27">
        <v>136</v>
      </c>
      <c r="B47" s="28" t="s">
        <v>144</v>
      </c>
      <c r="C47" s="28" t="s">
        <v>145</v>
      </c>
      <c r="D47" s="28" t="s">
        <v>151</v>
      </c>
      <c r="E47" s="28" t="s">
        <v>156</v>
      </c>
      <c r="F47" s="28" t="s">
        <v>157</v>
      </c>
      <c r="G47" s="28" t="s">
        <v>60</v>
      </c>
      <c r="H47" s="27" t="s">
        <v>60</v>
      </c>
      <c r="I47" s="29" t="s">
        <v>158</v>
      </c>
      <c r="J47" s="30">
        <v>0</v>
      </c>
      <c r="K47" s="30">
        <v>375000000</v>
      </c>
      <c r="L47" s="30">
        <v>2861637132</v>
      </c>
      <c r="M47" s="26" t="s">
        <v>140</v>
      </c>
      <c r="N47" t="s">
        <v>155</v>
      </c>
      <c r="O47" t="s">
        <v>183</v>
      </c>
    </row>
  </sheetData>
  <hyperlinks>
    <hyperlink ref="B1" location="'لیست اعضا'!A1" display="'لیست اعضا'!A1" xr:uid="{E2DCB95B-E005-457D-A1E1-DCA332B1B8D4}"/>
  </hyperlink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18A7E-9396-4BD2-8E9C-D8B28D903E04}">
  <dimension ref="A1:J39"/>
  <sheetViews>
    <sheetView rightToLeft="1" workbookViewId="0">
      <selection activeCell="G23" sqref="G23"/>
    </sheetView>
  </sheetViews>
  <sheetFormatPr defaultRowHeight="15" x14ac:dyDescent="0.25"/>
  <cols>
    <col min="2" max="2" width="18.85546875" bestFit="1" customWidth="1"/>
    <col min="3" max="3" width="61.85546875" customWidth="1"/>
    <col min="4" max="4" width="10.140625" bestFit="1" customWidth="1"/>
    <col min="5" max="5" width="28.42578125" bestFit="1" customWidth="1"/>
    <col min="6" max="8" width="22.42578125" bestFit="1" customWidth="1"/>
    <col min="9" max="9" width="19" customWidth="1"/>
    <col min="10" max="10" width="6" customWidth="1"/>
    <col min="11" max="11" width="14" bestFit="1" customWidth="1"/>
  </cols>
  <sheetData>
    <row r="1" spans="1:10" x14ac:dyDescent="0.25">
      <c r="B1" s="20" t="s">
        <v>6</v>
      </c>
    </row>
    <row r="2" spans="1:10" x14ac:dyDescent="0.25">
      <c r="B2" s="20"/>
      <c r="C2" t="s">
        <v>194</v>
      </c>
    </row>
    <row r="3" spans="1:10" x14ac:dyDescent="0.25">
      <c r="A3" s="11" t="s">
        <v>0</v>
      </c>
      <c r="B3" s="11" t="s">
        <v>40</v>
      </c>
      <c r="C3" s="11" t="s">
        <v>41</v>
      </c>
      <c r="D3" s="11" t="s">
        <v>42</v>
      </c>
      <c r="E3" s="11" t="s">
        <v>45</v>
      </c>
      <c r="F3" s="11" t="s">
        <v>46</v>
      </c>
      <c r="G3" s="11" t="s">
        <v>48</v>
      </c>
      <c r="H3" s="11" t="s">
        <v>49</v>
      </c>
      <c r="I3" s="11" t="s">
        <v>58</v>
      </c>
      <c r="J3" s="11"/>
    </row>
    <row r="4" spans="1:10" x14ac:dyDescent="0.25">
      <c r="A4" s="11">
        <v>68</v>
      </c>
      <c r="B4" s="11" t="s">
        <v>186</v>
      </c>
      <c r="C4" s="11" t="s">
        <v>187</v>
      </c>
      <c r="D4" s="12">
        <v>10970205</v>
      </c>
      <c r="E4" s="11" t="s">
        <v>51</v>
      </c>
      <c r="F4" s="13">
        <v>1500000000</v>
      </c>
      <c r="G4" s="18" t="s">
        <v>6</v>
      </c>
      <c r="H4" t="s">
        <v>85</v>
      </c>
      <c r="I4" s="11" t="s">
        <v>235</v>
      </c>
      <c r="J4" s="11"/>
    </row>
    <row r="5" spans="1:10" x14ac:dyDescent="0.25">
      <c r="A5" s="11">
        <v>66</v>
      </c>
      <c r="B5" s="11" t="s">
        <v>190</v>
      </c>
      <c r="C5" s="11" t="s">
        <v>191</v>
      </c>
      <c r="D5" s="12">
        <v>10968115</v>
      </c>
      <c r="E5" s="11" t="s">
        <v>51</v>
      </c>
      <c r="F5" s="13">
        <v>1000000000</v>
      </c>
      <c r="G5" s="18" t="s">
        <v>6</v>
      </c>
      <c r="H5" t="s">
        <v>85</v>
      </c>
      <c r="I5" s="11" t="s">
        <v>235</v>
      </c>
      <c r="J5" s="11"/>
    </row>
    <row r="6" spans="1:10" ht="18.75" customHeight="1" x14ac:dyDescent="0.25">
      <c r="A6" s="11"/>
      <c r="B6" s="11"/>
      <c r="C6" s="50" t="s">
        <v>192</v>
      </c>
      <c r="D6" s="11"/>
      <c r="E6" s="11"/>
      <c r="F6" s="13">
        <v>915000000</v>
      </c>
      <c r="G6" s="18" t="s">
        <v>6</v>
      </c>
      <c r="H6" t="s">
        <v>85</v>
      </c>
      <c r="I6" s="11" t="s">
        <v>193</v>
      </c>
      <c r="J6" s="11"/>
    </row>
    <row r="7" spans="1:10" x14ac:dyDescent="0.25">
      <c r="A7" s="18">
        <v>157</v>
      </c>
      <c r="B7" s="23" t="s">
        <v>199</v>
      </c>
      <c r="C7" s="24" t="s">
        <v>201</v>
      </c>
      <c r="D7" s="23" t="s">
        <v>200</v>
      </c>
      <c r="E7" s="25">
        <v>0</v>
      </c>
      <c r="F7" s="25">
        <v>500000000</v>
      </c>
      <c r="G7" s="18" t="s">
        <v>6</v>
      </c>
      <c r="H7" t="s">
        <v>85</v>
      </c>
      <c r="I7" s="11" t="s">
        <v>167</v>
      </c>
      <c r="J7" s="11"/>
    </row>
    <row r="8" spans="1:10" x14ac:dyDescent="0.25">
      <c r="A8" s="11">
        <v>2</v>
      </c>
      <c r="B8" s="17" t="s">
        <v>286</v>
      </c>
      <c r="C8" s="17" t="s">
        <v>290</v>
      </c>
      <c r="D8" s="16" t="s">
        <v>288</v>
      </c>
      <c r="E8" s="11"/>
      <c r="F8" s="55">
        <v>85000000</v>
      </c>
      <c r="G8" s="11" t="s">
        <v>338</v>
      </c>
      <c r="H8" t="s">
        <v>85</v>
      </c>
      <c r="I8" s="11" t="s">
        <v>86</v>
      </c>
      <c r="J8" s="11"/>
    </row>
    <row r="17" spans="1:9" x14ac:dyDescent="0.25">
      <c r="F17" s="34"/>
    </row>
    <row r="20" spans="1:9" x14ac:dyDescent="0.25">
      <c r="B20" s="41" t="s">
        <v>7</v>
      </c>
    </row>
    <row r="21" spans="1:9" x14ac:dyDescent="0.25">
      <c r="B21" s="20"/>
      <c r="C21" t="s">
        <v>189</v>
      </c>
    </row>
    <row r="22" spans="1:9" x14ac:dyDescent="0.25">
      <c r="A22" s="11" t="s">
        <v>0</v>
      </c>
      <c r="B22" s="11" t="s">
        <v>40</v>
      </c>
      <c r="C22" s="11" t="s">
        <v>41</v>
      </c>
      <c r="D22" s="11" t="s">
        <v>42</v>
      </c>
      <c r="E22" s="11" t="s">
        <v>45</v>
      </c>
      <c r="F22" s="11" t="s">
        <v>46</v>
      </c>
      <c r="G22" s="11" t="s">
        <v>49</v>
      </c>
      <c r="H22" s="11" t="s">
        <v>49</v>
      </c>
      <c r="I22" s="11" t="s">
        <v>58</v>
      </c>
    </row>
    <row r="23" spans="1:9" x14ac:dyDescent="0.25">
      <c r="A23" s="11">
        <v>68</v>
      </c>
      <c r="B23" s="11" t="s">
        <v>186</v>
      </c>
      <c r="C23" s="11" t="s">
        <v>187</v>
      </c>
      <c r="D23" s="12">
        <v>10970205</v>
      </c>
      <c r="E23" s="11" t="s">
        <v>51</v>
      </c>
      <c r="F23" s="33">
        <v>1350000000</v>
      </c>
      <c r="G23" s="11" t="s">
        <v>188</v>
      </c>
      <c r="H23" s="11" t="s">
        <v>85</v>
      </c>
      <c r="I23" s="13" t="s">
        <v>59</v>
      </c>
    </row>
    <row r="24" spans="1:9" x14ac:dyDescent="0.25">
      <c r="A24" s="36">
        <v>69</v>
      </c>
      <c r="B24" s="36" t="s">
        <v>204</v>
      </c>
      <c r="C24" s="36" t="s">
        <v>205</v>
      </c>
      <c r="D24" s="37">
        <v>10970334</v>
      </c>
      <c r="E24" s="36" t="s">
        <v>51</v>
      </c>
      <c r="F24" s="38">
        <v>1250000000</v>
      </c>
      <c r="G24" s="36" t="s">
        <v>188</v>
      </c>
      <c r="H24" s="11" t="s">
        <v>85</v>
      </c>
      <c r="I24" s="13" t="s">
        <v>59</v>
      </c>
    </row>
    <row r="25" spans="1:9" x14ac:dyDescent="0.25">
      <c r="A25" s="18">
        <v>113</v>
      </c>
      <c r="B25" s="23" t="s">
        <v>206</v>
      </c>
      <c r="C25" s="24" t="s">
        <v>208</v>
      </c>
      <c r="D25" s="23" t="s">
        <v>207</v>
      </c>
      <c r="E25" s="23" t="s">
        <v>60</v>
      </c>
      <c r="F25" s="25">
        <v>500000000</v>
      </c>
      <c r="G25" s="11" t="s">
        <v>209</v>
      </c>
      <c r="H25" s="11" t="s">
        <v>85</v>
      </c>
      <c r="I25" s="11" t="s">
        <v>167</v>
      </c>
    </row>
    <row r="26" spans="1:9" x14ac:dyDescent="0.25">
      <c r="A26" s="11">
        <v>2</v>
      </c>
      <c r="B26" s="17" t="s">
        <v>286</v>
      </c>
      <c r="C26" s="17" t="s">
        <v>290</v>
      </c>
      <c r="D26" s="16" t="s">
        <v>288</v>
      </c>
      <c r="E26" s="11"/>
      <c r="F26" s="55">
        <v>900000000</v>
      </c>
      <c r="G26" s="11" t="s">
        <v>338</v>
      </c>
      <c r="H26" s="11" t="s">
        <v>85</v>
      </c>
      <c r="I26" s="11" t="s">
        <v>86</v>
      </c>
    </row>
    <row r="28" spans="1:9" x14ac:dyDescent="0.25">
      <c r="H28" s="34"/>
    </row>
    <row r="29" spans="1:9" x14ac:dyDescent="0.25">
      <c r="H29" s="34"/>
    </row>
    <row r="32" spans="1:9" x14ac:dyDescent="0.25">
      <c r="B32" s="20"/>
      <c r="C32" t="s">
        <v>195</v>
      </c>
    </row>
    <row r="33" spans="1:10" x14ac:dyDescent="0.25">
      <c r="A33" s="11" t="s">
        <v>0</v>
      </c>
      <c r="B33" s="11" t="s">
        <v>40</v>
      </c>
      <c r="C33" s="11" t="s">
        <v>41</v>
      </c>
      <c r="D33" s="11" t="s">
        <v>42</v>
      </c>
      <c r="E33" s="11" t="s">
        <v>45</v>
      </c>
      <c r="F33" s="11" t="s">
        <v>46</v>
      </c>
      <c r="G33" s="11" t="s">
        <v>48</v>
      </c>
      <c r="H33" s="11" t="s">
        <v>49</v>
      </c>
      <c r="J33" s="14" t="s">
        <v>58</v>
      </c>
    </row>
    <row r="34" spans="1:10" x14ac:dyDescent="0.25">
      <c r="A34" s="16">
        <v>126</v>
      </c>
      <c r="B34" s="16" t="s">
        <v>131</v>
      </c>
      <c r="C34" s="17" t="s">
        <v>197</v>
      </c>
      <c r="D34" s="16" t="s">
        <v>196</v>
      </c>
      <c r="E34" s="17">
        <v>0</v>
      </c>
      <c r="F34" s="32">
        <v>500000000</v>
      </c>
      <c r="G34" s="11" t="s">
        <v>6</v>
      </c>
      <c r="H34" s="11" t="s">
        <v>198</v>
      </c>
      <c r="J34" s="11" t="s">
        <v>236</v>
      </c>
    </row>
    <row r="35" spans="1:10" x14ac:dyDescent="0.25">
      <c r="A35" s="27">
        <v>157</v>
      </c>
      <c r="B35" s="28" t="s">
        <v>199</v>
      </c>
      <c r="C35" s="29" t="s">
        <v>201</v>
      </c>
      <c r="D35" s="28" t="s">
        <v>200</v>
      </c>
      <c r="E35" s="30">
        <v>0</v>
      </c>
      <c r="F35" s="30">
        <v>500000000</v>
      </c>
      <c r="G35" s="27" t="s">
        <v>6</v>
      </c>
      <c r="H35" t="s">
        <v>85</v>
      </c>
      <c r="J35" t="s">
        <v>167</v>
      </c>
    </row>
    <row r="36" spans="1:10" x14ac:dyDescent="0.25">
      <c r="A36" s="27">
        <v>158</v>
      </c>
      <c r="B36" s="28" t="s">
        <v>199</v>
      </c>
      <c r="C36" s="29" t="s">
        <v>203</v>
      </c>
      <c r="D36" s="28" t="s">
        <v>202</v>
      </c>
      <c r="E36" s="30">
        <v>0</v>
      </c>
      <c r="F36" s="30">
        <v>1000000000</v>
      </c>
      <c r="G36" s="27" t="s">
        <v>6</v>
      </c>
      <c r="H36" t="s">
        <v>85</v>
      </c>
      <c r="J36" t="s">
        <v>167</v>
      </c>
    </row>
    <row r="37" spans="1:10" x14ac:dyDescent="0.25">
      <c r="F37" s="34">
        <f>SUM(F34:F36)</f>
        <v>2000000000</v>
      </c>
    </row>
    <row r="38" spans="1:10" x14ac:dyDescent="0.25">
      <c r="E38" t="s">
        <v>179</v>
      </c>
      <c r="F38" s="32">
        <v>2000000000</v>
      </c>
    </row>
    <row r="39" spans="1:10" x14ac:dyDescent="0.25">
      <c r="E39" t="s">
        <v>174</v>
      </c>
      <c r="F39" s="35">
        <f>F37-F38</f>
        <v>0</v>
      </c>
    </row>
  </sheetData>
  <hyperlinks>
    <hyperlink ref="B1" location="'لیست اعضا'!A1" display="هاشم حاجی قاسمی" xr:uid="{F42C45E4-AA9F-4422-A2DB-E8C29E322061}"/>
    <hyperlink ref="B20" location="'لیست اعضا'!A1" display="نرگس حاجی قاسمی" xr:uid="{72803FF7-F509-4217-8FAB-11FD5EC84693}"/>
  </hyperlink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9CD05-E74A-4A48-AD88-1C280908E89F}">
  <dimension ref="A1:M29"/>
  <sheetViews>
    <sheetView rightToLeft="1" workbookViewId="0">
      <selection activeCell="M2" sqref="M2"/>
    </sheetView>
  </sheetViews>
  <sheetFormatPr defaultRowHeight="15" x14ac:dyDescent="0.25"/>
  <cols>
    <col min="1" max="1" width="6.28515625" customWidth="1"/>
    <col min="2" max="3" width="14" customWidth="1"/>
    <col min="4" max="4" width="12.5703125" customWidth="1"/>
    <col min="5" max="5" width="13.42578125" customWidth="1"/>
    <col min="6" max="6" width="14.85546875" customWidth="1"/>
    <col min="7" max="7" width="28" customWidth="1"/>
    <col min="8" max="8" width="10" customWidth="1"/>
    <col min="9" max="9" width="46" customWidth="1"/>
    <col min="10" max="10" width="19.7109375" bestFit="1" customWidth="1"/>
    <col min="11" max="11" width="25.7109375" customWidth="1"/>
    <col min="12" max="12" width="16.5703125" customWidth="1"/>
    <col min="13" max="13" width="11.85546875" bestFit="1" customWidth="1"/>
  </cols>
  <sheetData>
    <row r="1" spans="1:13" x14ac:dyDescent="0.25">
      <c r="B1" s="20" t="s">
        <v>15</v>
      </c>
    </row>
    <row r="2" spans="1:13" x14ac:dyDescent="0.25">
      <c r="A2" s="15" t="s">
        <v>60</v>
      </c>
      <c r="B2" s="15" t="s">
        <v>61</v>
      </c>
      <c r="C2" s="15" t="s">
        <v>45</v>
      </c>
      <c r="D2" s="15" t="s">
        <v>40</v>
      </c>
      <c r="E2" s="15" t="s">
        <v>62</v>
      </c>
      <c r="F2" s="15" t="s">
        <v>63</v>
      </c>
      <c r="G2" s="15" t="s">
        <v>64</v>
      </c>
      <c r="H2" s="15" t="s">
        <v>107</v>
      </c>
      <c r="I2" s="15" t="s">
        <v>65</v>
      </c>
      <c r="J2" s="15" t="s">
        <v>67</v>
      </c>
      <c r="K2" s="15" t="s">
        <v>69</v>
      </c>
      <c r="M2" s="31" t="s">
        <v>58</v>
      </c>
    </row>
    <row r="3" spans="1:13" x14ac:dyDescent="0.25">
      <c r="A3" s="18">
        <v>65</v>
      </c>
      <c r="B3" s="23" t="s">
        <v>71</v>
      </c>
      <c r="C3" s="23" t="s">
        <v>72</v>
      </c>
      <c r="D3" s="23" t="s">
        <v>120</v>
      </c>
      <c r="E3" s="23" t="s">
        <v>121</v>
      </c>
      <c r="F3" s="23" t="s">
        <v>122</v>
      </c>
      <c r="G3" s="23" t="s">
        <v>60</v>
      </c>
      <c r="H3" s="18" t="s">
        <v>111</v>
      </c>
      <c r="I3" s="24" t="s">
        <v>123</v>
      </c>
      <c r="J3" s="25">
        <v>1000000000</v>
      </c>
      <c r="K3" s="26" t="s">
        <v>124</v>
      </c>
      <c r="L3" t="s">
        <v>78</v>
      </c>
      <c r="M3" t="s">
        <v>167</v>
      </c>
    </row>
    <row r="4" spans="1:13" x14ac:dyDescent="0.25">
      <c r="A4" s="18">
        <v>77</v>
      </c>
      <c r="B4" s="23" t="s">
        <v>71</v>
      </c>
      <c r="C4" s="23" t="s">
        <v>72</v>
      </c>
      <c r="D4" s="23" t="s">
        <v>125</v>
      </c>
      <c r="E4" s="23" t="s">
        <v>126</v>
      </c>
      <c r="F4" s="23" t="s">
        <v>127</v>
      </c>
      <c r="G4" s="23" t="s">
        <v>128</v>
      </c>
      <c r="H4" s="18" t="s">
        <v>129</v>
      </c>
      <c r="I4" s="24" t="s">
        <v>130</v>
      </c>
      <c r="J4" s="25">
        <v>2000000000</v>
      </c>
      <c r="K4" s="26" t="s">
        <v>124</v>
      </c>
      <c r="L4" t="s">
        <v>78</v>
      </c>
      <c r="M4" t="s">
        <v>167</v>
      </c>
    </row>
    <row r="5" spans="1:13" x14ac:dyDescent="0.25">
      <c r="I5" t="s">
        <v>312</v>
      </c>
      <c r="J5" s="25">
        <v>5000000000</v>
      </c>
      <c r="L5" t="s">
        <v>78</v>
      </c>
    </row>
    <row r="6" spans="1:13" x14ac:dyDescent="0.25">
      <c r="A6" s="18">
        <v>55</v>
      </c>
      <c r="B6" s="23" t="s">
        <v>71</v>
      </c>
      <c r="C6" s="23" t="s">
        <v>72</v>
      </c>
      <c r="D6" s="23" t="s">
        <v>108</v>
      </c>
      <c r="E6" s="23" t="s">
        <v>109</v>
      </c>
      <c r="F6" s="23" t="s">
        <v>110</v>
      </c>
      <c r="G6" s="23" t="s">
        <v>60</v>
      </c>
      <c r="H6" s="18" t="s">
        <v>111</v>
      </c>
      <c r="I6" s="24" t="s">
        <v>112</v>
      </c>
      <c r="J6" s="25">
        <v>750000000</v>
      </c>
      <c r="K6" s="26" t="s">
        <v>113</v>
      </c>
      <c r="L6" t="s">
        <v>114</v>
      </c>
      <c r="M6" t="s">
        <v>167</v>
      </c>
    </row>
    <row r="7" spans="1:13" x14ac:dyDescent="0.25">
      <c r="A7" s="16">
        <v>127</v>
      </c>
      <c r="B7" s="16" t="s">
        <v>141</v>
      </c>
      <c r="C7" s="16" t="s">
        <v>142</v>
      </c>
      <c r="D7" s="16" t="s">
        <v>131</v>
      </c>
      <c r="E7" s="16" t="s">
        <v>159</v>
      </c>
      <c r="F7" s="16" t="s">
        <v>160</v>
      </c>
      <c r="G7" s="16" t="s">
        <v>71</v>
      </c>
      <c r="I7" s="17" t="s">
        <v>161</v>
      </c>
      <c r="J7" s="17">
        <v>750000000</v>
      </c>
      <c r="K7" s="11" t="s">
        <v>15</v>
      </c>
      <c r="L7" s="11" t="s">
        <v>162</v>
      </c>
      <c r="M7" t="s">
        <v>236</v>
      </c>
    </row>
    <row r="8" spans="1:13" x14ac:dyDescent="0.25">
      <c r="A8" s="16">
        <v>162</v>
      </c>
      <c r="B8" s="16" t="s">
        <v>141</v>
      </c>
      <c r="C8" s="16" t="s">
        <v>142</v>
      </c>
      <c r="D8" s="16" t="s">
        <v>143</v>
      </c>
      <c r="E8" s="16" t="s">
        <v>296</v>
      </c>
      <c r="F8" s="16" t="s">
        <v>297</v>
      </c>
      <c r="G8" s="16" t="s">
        <v>71</v>
      </c>
      <c r="I8" s="17" t="s">
        <v>184</v>
      </c>
      <c r="J8" s="17">
        <v>750000000</v>
      </c>
      <c r="K8" s="17" t="s">
        <v>295</v>
      </c>
      <c r="L8" s="11" t="s">
        <v>166</v>
      </c>
      <c r="M8" t="s">
        <v>236</v>
      </c>
    </row>
    <row r="9" spans="1:13" x14ac:dyDescent="0.25">
      <c r="A9" s="27">
        <v>137</v>
      </c>
      <c r="B9" s="28" t="s">
        <v>144</v>
      </c>
      <c r="C9" s="28" t="s">
        <v>145</v>
      </c>
      <c r="D9" s="28" t="s">
        <v>151</v>
      </c>
      <c r="E9" s="28" t="s">
        <v>168</v>
      </c>
      <c r="F9" s="28" t="s">
        <v>169</v>
      </c>
      <c r="G9" s="28" t="s">
        <v>60</v>
      </c>
      <c r="H9" s="27" t="s">
        <v>60</v>
      </c>
      <c r="I9" s="29" t="s">
        <v>170</v>
      </c>
      <c r="J9" s="30">
        <v>750000000</v>
      </c>
      <c r="K9" t="s">
        <v>155</v>
      </c>
      <c r="L9" s="11" t="s">
        <v>327</v>
      </c>
      <c r="M9" t="s">
        <v>313</v>
      </c>
    </row>
    <row r="10" spans="1:13" x14ac:dyDescent="0.25">
      <c r="A10" s="16">
        <v>218</v>
      </c>
      <c r="B10" s="17" t="s">
        <v>141</v>
      </c>
      <c r="C10" s="17" t="s">
        <v>142</v>
      </c>
      <c r="D10" s="17" t="s">
        <v>281</v>
      </c>
      <c r="E10" s="17" t="s">
        <v>304</v>
      </c>
      <c r="F10" s="16" t="s">
        <v>305</v>
      </c>
      <c r="G10" s="17" t="s">
        <v>71</v>
      </c>
      <c r="I10" s="17" t="s">
        <v>306</v>
      </c>
      <c r="J10" s="17">
        <v>750000000</v>
      </c>
      <c r="K10" s="16" t="s">
        <v>4</v>
      </c>
      <c r="L10" s="17" t="s">
        <v>303</v>
      </c>
      <c r="M10" t="s">
        <v>236</v>
      </c>
    </row>
    <row r="13" spans="1:13" x14ac:dyDescent="0.25">
      <c r="A13" s="15" t="s">
        <v>60</v>
      </c>
      <c r="B13" s="15" t="s">
        <v>61</v>
      </c>
      <c r="C13" s="15" t="s">
        <v>45</v>
      </c>
      <c r="D13" s="15" t="s">
        <v>40</v>
      </c>
      <c r="E13" s="15" t="s">
        <v>62</v>
      </c>
      <c r="F13" s="15" t="s">
        <v>63</v>
      </c>
      <c r="G13" s="15" t="s">
        <v>64</v>
      </c>
      <c r="H13" s="15" t="s">
        <v>107</v>
      </c>
      <c r="I13" s="15" t="s">
        <v>65</v>
      </c>
      <c r="J13" s="15" t="s">
        <v>67</v>
      </c>
      <c r="K13" s="15" t="s">
        <v>69</v>
      </c>
      <c r="M13" s="31" t="s">
        <v>58</v>
      </c>
    </row>
    <row r="15" spans="1:13" x14ac:dyDescent="0.25">
      <c r="A15" s="16">
        <v>127</v>
      </c>
      <c r="B15" s="16" t="s">
        <v>141</v>
      </c>
      <c r="C15" s="16" t="s">
        <v>142</v>
      </c>
      <c r="D15" s="16" t="s">
        <v>131</v>
      </c>
      <c r="E15" s="16" t="s">
        <v>159</v>
      </c>
      <c r="F15" s="16" t="s">
        <v>160</v>
      </c>
      <c r="G15" s="16" t="s">
        <v>71</v>
      </c>
      <c r="I15" s="17" t="s">
        <v>161</v>
      </c>
      <c r="J15" s="17">
        <v>750000000</v>
      </c>
      <c r="K15" s="11" t="s">
        <v>15</v>
      </c>
      <c r="L15" s="11" t="s">
        <v>162</v>
      </c>
      <c r="M15" t="s">
        <v>167</v>
      </c>
    </row>
    <row r="16" spans="1:13" x14ac:dyDescent="0.25">
      <c r="A16" s="16">
        <v>161</v>
      </c>
      <c r="B16" s="16" t="s">
        <v>141</v>
      </c>
      <c r="C16" s="16" t="s">
        <v>142</v>
      </c>
      <c r="D16" s="16" t="s">
        <v>143</v>
      </c>
      <c r="E16" s="16" t="s">
        <v>163</v>
      </c>
      <c r="F16" s="16" t="s">
        <v>164</v>
      </c>
      <c r="G16" s="16" t="s">
        <v>71</v>
      </c>
      <c r="I16" s="17" t="s">
        <v>165</v>
      </c>
      <c r="J16" s="17">
        <v>750000000</v>
      </c>
      <c r="K16" s="11" t="s">
        <v>15</v>
      </c>
      <c r="L16" s="11" t="s">
        <v>166</v>
      </c>
      <c r="M16" t="s">
        <v>167</v>
      </c>
    </row>
    <row r="23" spans="1:13" x14ac:dyDescent="0.25">
      <c r="A23" s="16">
        <v>125</v>
      </c>
      <c r="B23" s="16" t="s">
        <v>141</v>
      </c>
      <c r="C23" s="16" t="s">
        <v>142</v>
      </c>
      <c r="D23" s="16" t="s">
        <v>131</v>
      </c>
      <c r="E23" s="16" t="s">
        <v>292</v>
      </c>
      <c r="F23" s="16" t="s">
        <v>293</v>
      </c>
      <c r="G23" s="16" t="s">
        <v>71</v>
      </c>
      <c r="H23" s="17" t="s">
        <v>294</v>
      </c>
      <c r="I23" s="17">
        <v>0</v>
      </c>
      <c r="J23" s="17">
        <v>750000000</v>
      </c>
      <c r="K23" s="17">
        <v>2500194044</v>
      </c>
      <c r="L23" s="17" t="s">
        <v>295</v>
      </c>
      <c r="M23" s="11" t="s">
        <v>162</v>
      </c>
    </row>
    <row r="25" spans="1:13" x14ac:dyDescent="0.25">
      <c r="A25" s="16">
        <v>161</v>
      </c>
      <c r="B25" s="16" t="s">
        <v>141</v>
      </c>
      <c r="C25" s="16" t="s">
        <v>142</v>
      </c>
      <c r="D25" s="16" t="s">
        <v>143</v>
      </c>
      <c r="E25" s="16" t="s">
        <v>163</v>
      </c>
      <c r="F25" s="16" t="s">
        <v>164</v>
      </c>
      <c r="G25" s="16" t="s">
        <v>71</v>
      </c>
      <c r="H25" s="17" t="s">
        <v>165</v>
      </c>
      <c r="I25" s="17">
        <v>0</v>
      </c>
      <c r="J25" s="17">
        <v>750000000</v>
      </c>
      <c r="K25" s="17">
        <v>1768041644</v>
      </c>
      <c r="L25" s="11" t="s">
        <v>15</v>
      </c>
      <c r="M25" s="11" t="s">
        <v>166</v>
      </c>
    </row>
    <row r="27" spans="1:13" x14ac:dyDescent="0.25">
      <c r="A27" s="16">
        <v>167</v>
      </c>
      <c r="B27" s="16" t="s">
        <v>141</v>
      </c>
      <c r="C27" s="16" t="s">
        <v>142</v>
      </c>
      <c r="D27" s="16" t="s">
        <v>180</v>
      </c>
      <c r="E27" s="16" t="s">
        <v>181</v>
      </c>
      <c r="F27" s="16" t="s">
        <v>182</v>
      </c>
      <c r="G27" s="16" t="s">
        <v>71</v>
      </c>
      <c r="H27" s="17" t="s">
        <v>184</v>
      </c>
      <c r="I27" s="17">
        <v>0</v>
      </c>
      <c r="J27" s="17">
        <v>375000000</v>
      </c>
      <c r="K27" s="17">
        <v>4143041644</v>
      </c>
      <c r="L27" s="11" t="s">
        <v>4</v>
      </c>
      <c r="M27" s="11" t="s">
        <v>166</v>
      </c>
    </row>
    <row r="28" spans="1:13" x14ac:dyDescent="0.25">
      <c r="A28" s="16">
        <v>169</v>
      </c>
      <c r="B28" s="16" t="s">
        <v>141</v>
      </c>
      <c r="C28" s="16" t="s">
        <v>142</v>
      </c>
      <c r="D28" s="16" t="s">
        <v>180</v>
      </c>
      <c r="E28" s="16" t="s">
        <v>298</v>
      </c>
      <c r="F28" s="16" t="s">
        <v>299</v>
      </c>
      <c r="G28" s="16" t="s">
        <v>71</v>
      </c>
      <c r="H28" s="17" t="s">
        <v>165</v>
      </c>
      <c r="I28" s="17">
        <v>0</v>
      </c>
      <c r="J28" s="17">
        <v>375000000</v>
      </c>
      <c r="K28" s="17">
        <v>5268041644</v>
      </c>
      <c r="L28" s="17" t="s">
        <v>295</v>
      </c>
      <c r="M28" s="11" t="s">
        <v>166</v>
      </c>
    </row>
    <row r="29" spans="1:13" x14ac:dyDescent="0.25">
      <c r="A29" s="16">
        <v>217</v>
      </c>
      <c r="B29" s="17" t="s">
        <v>141</v>
      </c>
      <c r="C29" s="17" t="s">
        <v>142</v>
      </c>
      <c r="D29" s="17" t="s">
        <v>281</v>
      </c>
      <c r="E29" s="17" t="s">
        <v>300</v>
      </c>
      <c r="F29" s="16" t="s">
        <v>301</v>
      </c>
      <c r="G29" s="17" t="s">
        <v>71</v>
      </c>
      <c r="H29" s="17" t="s">
        <v>302</v>
      </c>
      <c r="I29" s="17">
        <v>0</v>
      </c>
      <c r="J29" s="17">
        <v>750000000</v>
      </c>
      <c r="K29" s="17">
        <v>7054429882</v>
      </c>
      <c r="L29" s="16" t="s">
        <v>295</v>
      </c>
      <c r="M29" s="17" t="s">
        <v>303</v>
      </c>
    </row>
  </sheetData>
  <phoneticPr fontId="25" type="noConversion"/>
  <hyperlinks>
    <hyperlink ref="B1" location="'لیست اعضا'!A1" display="حمیده احمدی" xr:uid="{C147B8F2-DAB1-4EB4-8951-33B250471E6F}"/>
  </hyperlink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5C6C9-5EDF-4F98-83CA-8DA35C1A6AE4}">
  <dimension ref="A1:K20"/>
  <sheetViews>
    <sheetView rightToLeft="1" workbookViewId="0">
      <selection activeCell="I3" sqref="I3:I12"/>
    </sheetView>
  </sheetViews>
  <sheetFormatPr defaultRowHeight="15" x14ac:dyDescent="0.25"/>
  <cols>
    <col min="1" max="1" width="5.42578125" customWidth="1"/>
    <col min="2" max="3" width="14" customWidth="1"/>
    <col min="4" max="4" width="11.5703125" customWidth="1"/>
    <col min="5" max="5" width="20" customWidth="1"/>
    <col min="6" max="6" width="21.28515625" customWidth="1"/>
    <col min="7" max="7" width="28" customWidth="1"/>
    <col min="8" max="8" width="46" customWidth="1"/>
    <col min="9" max="9" width="18" customWidth="1"/>
    <col min="10" max="10" width="20" customWidth="1"/>
    <col min="11" max="11" width="13.85546875" customWidth="1"/>
    <col min="12" max="12" width="21" customWidth="1"/>
  </cols>
  <sheetData>
    <row r="1" spans="1:11" x14ac:dyDescent="0.25">
      <c r="B1" s="20" t="str">
        <f>'لیست اعضا'!$B$31</f>
        <v>نرگس پرویز زاده</v>
      </c>
    </row>
    <row r="2" spans="1:11" x14ac:dyDescent="0.25">
      <c r="A2" s="15" t="s">
        <v>60</v>
      </c>
      <c r="B2" s="15" t="s">
        <v>61</v>
      </c>
      <c r="C2" s="15" t="s">
        <v>45</v>
      </c>
      <c r="D2" s="15" t="s">
        <v>40</v>
      </c>
      <c r="E2" s="15" t="s">
        <v>62</v>
      </c>
      <c r="F2" s="15" t="s">
        <v>63</v>
      </c>
      <c r="G2" s="15" t="s">
        <v>64</v>
      </c>
      <c r="H2" s="15" t="s">
        <v>107</v>
      </c>
      <c r="I2" s="15" t="s">
        <v>67</v>
      </c>
      <c r="K2" s="31" t="s">
        <v>58</v>
      </c>
    </row>
    <row r="3" spans="1:11" x14ac:dyDescent="0.25">
      <c r="A3" s="57">
        <v>101</v>
      </c>
      <c r="B3" s="54" t="s">
        <v>71</v>
      </c>
      <c r="C3" s="54" t="s">
        <v>72</v>
      </c>
      <c r="D3" s="54" t="s">
        <v>314</v>
      </c>
      <c r="E3" s="54" t="s">
        <v>315</v>
      </c>
      <c r="F3" s="54" t="s">
        <v>316</v>
      </c>
      <c r="G3" s="54" t="s">
        <v>60</v>
      </c>
      <c r="H3" s="54" t="s">
        <v>317</v>
      </c>
      <c r="I3" s="58">
        <v>750000000</v>
      </c>
      <c r="J3" s="17" t="s">
        <v>295</v>
      </c>
      <c r="K3" s="11" t="s">
        <v>78</v>
      </c>
    </row>
    <row r="4" spans="1:11" x14ac:dyDescent="0.25">
      <c r="A4" s="57">
        <v>102</v>
      </c>
      <c r="B4" s="16" t="s">
        <v>71</v>
      </c>
      <c r="C4" s="16" t="s">
        <v>72</v>
      </c>
      <c r="D4" s="16" t="s">
        <v>314</v>
      </c>
      <c r="E4" s="16" t="s">
        <v>318</v>
      </c>
      <c r="F4" s="16" t="s">
        <v>319</v>
      </c>
      <c r="G4" s="16" t="s">
        <v>60</v>
      </c>
      <c r="H4" s="16" t="s">
        <v>320</v>
      </c>
      <c r="I4" s="17">
        <v>750000000</v>
      </c>
      <c r="J4" s="17" t="s">
        <v>295</v>
      </c>
      <c r="K4" s="11" t="s">
        <v>78</v>
      </c>
    </row>
    <row r="5" spans="1:11" x14ac:dyDescent="0.25">
      <c r="A5" s="57">
        <v>103</v>
      </c>
      <c r="B5" s="54" t="s">
        <v>71</v>
      </c>
      <c r="C5" s="54" t="s">
        <v>72</v>
      </c>
      <c r="D5" s="54" t="s">
        <v>314</v>
      </c>
      <c r="E5" s="54" t="s">
        <v>321</v>
      </c>
      <c r="F5" s="54" t="s">
        <v>322</v>
      </c>
      <c r="G5" s="54" t="s">
        <v>60</v>
      </c>
      <c r="H5" s="54" t="s">
        <v>323</v>
      </c>
      <c r="I5" s="58">
        <v>750000000</v>
      </c>
      <c r="J5" s="17" t="s">
        <v>295</v>
      </c>
      <c r="K5" s="11" t="s">
        <v>78</v>
      </c>
    </row>
    <row r="6" spans="1:11" x14ac:dyDescent="0.25">
      <c r="A6" s="57">
        <v>104</v>
      </c>
      <c r="B6" s="16" t="s">
        <v>71</v>
      </c>
      <c r="C6" s="16" t="s">
        <v>72</v>
      </c>
      <c r="D6" s="16" t="s">
        <v>314</v>
      </c>
      <c r="E6" s="16" t="s">
        <v>324</v>
      </c>
      <c r="F6" s="16" t="s">
        <v>325</v>
      </c>
      <c r="G6" s="16" t="s">
        <v>60</v>
      </c>
      <c r="H6" s="16" t="s">
        <v>326</v>
      </c>
      <c r="I6" s="17">
        <v>750000000</v>
      </c>
      <c r="J6" s="17" t="s">
        <v>295</v>
      </c>
      <c r="K6" s="11" t="s">
        <v>78</v>
      </c>
    </row>
    <row r="7" spans="1:11" x14ac:dyDescent="0.25">
      <c r="A7" s="11"/>
      <c r="B7" s="11"/>
      <c r="C7" s="11"/>
      <c r="D7" s="11"/>
      <c r="E7" s="11"/>
      <c r="F7" s="11"/>
      <c r="G7" s="11"/>
      <c r="H7" s="11" t="s">
        <v>312</v>
      </c>
      <c r="I7" s="25">
        <v>5000000000</v>
      </c>
      <c r="J7" s="17" t="s">
        <v>295</v>
      </c>
      <c r="K7" s="11" t="s">
        <v>78</v>
      </c>
    </row>
    <row r="8" spans="1:11" x14ac:dyDescent="0.25">
      <c r="A8" s="57">
        <v>85</v>
      </c>
      <c r="B8" s="59">
        <v>1</v>
      </c>
      <c r="C8" s="54" t="s">
        <v>72</v>
      </c>
      <c r="D8" s="54" t="s">
        <v>108</v>
      </c>
      <c r="E8" s="54" t="s">
        <v>328</v>
      </c>
      <c r="F8" s="54" t="s">
        <v>329</v>
      </c>
      <c r="G8" s="54" t="s">
        <v>330</v>
      </c>
      <c r="H8" s="54" t="s">
        <v>331</v>
      </c>
      <c r="I8" s="58">
        <v>750000000</v>
      </c>
      <c r="J8" s="17" t="s">
        <v>295</v>
      </c>
      <c r="K8" s="11" t="s">
        <v>332</v>
      </c>
    </row>
    <row r="9" spans="1:11" x14ac:dyDescent="0.25">
      <c r="A9" s="16">
        <v>125</v>
      </c>
      <c r="B9" s="16" t="s">
        <v>141</v>
      </c>
      <c r="C9" s="16" t="s">
        <v>142</v>
      </c>
      <c r="D9" s="16" t="s">
        <v>131</v>
      </c>
      <c r="E9" s="16" t="s">
        <v>292</v>
      </c>
      <c r="F9" s="16" t="s">
        <v>293</v>
      </c>
      <c r="G9" s="16" t="s">
        <v>71</v>
      </c>
      <c r="H9" s="17" t="s">
        <v>294</v>
      </c>
      <c r="I9" s="17">
        <v>750000000</v>
      </c>
      <c r="J9" s="17" t="s">
        <v>295</v>
      </c>
      <c r="K9" s="11" t="s">
        <v>162</v>
      </c>
    </row>
    <row r="10" spans="1:11" x14ac:dyDescent="0.25">
      <c r="A10" s="16">
        <v>161</v>
      </c>
      <c r="B10" s="16" t="s">
        <v>141</v>
      </c>
      <c r="C10" s="16" t="s">
        <v>142</v>
      </c>
      <c r="D10" s="16" t="s">
        <v>143</v>
      </c>
      <c r="E10" s="16" t="s">
        <v>163</v>
      </c>
      <c r="F10" s="16" t="s">
        <v>164</v>
      </c>
      <c r="G10" s="16" t="s">
        <v>71</v>
      </c>
      <c r="H10" s="17" t="s">
        <v>165</v>
      </c>
      <c r="I10" s="17">
        <v>750000000</v>
      </c>
      <c r="J10" s="17" t="s">
        <v>295</v>
      </c>
      <c r="K10" s="11" t="s">
        <v>166</v>
      </c>
    </row>
    <row r="11" spans="1:11" x14ac:dyDescent="0.25">
      <c r="A11" s="16">
        <v>195</v>
      </c>
      <c r="B11" s="17" t="s">
        <v>144</v>
      </c>
      <c r="C11" s="17" t="s">
        <v>145</v>
      </c>
      <c r="D11" s="17" t="s">
        <v>333</v>
      </c>
      <c r="E11" s="17" t="s">
        <v>334</v>
      </c>
      <c r="F11" s="16" t="s">
        <v>335</v>
      </c>
      <c r="G11" s="17" t="s">
        <v>60</v>
      </c>
      <c r="H11" s="17" t="s">
        <v>336</v>
      </c>
      <c r="I11" s="17">
        <v>750000000</v>
      </c>
      <c r="J11" s="17" t="s">
        <v>295</v>
      </c>
      <c r="K11" s="11" t="s">
        <v>337</v>
      </c>
    </row>
    <row r="12" spans="1:11" x14ac:dyDescent="0.25">
      <c r="A12" s="16">
        <v>217</v>
      </c>
      <c r="B12" s="17" t="s">
        <v>141</v>
      </c>
      <c r="C12" s="17" t="s">
        <v>142</v>
      </c>
      <c r="D12" s="17" t="s">
        <v>281</v>
      </c>
      <c r="E12" s="17" t="s">
        <v>300</v>
      </c>
      <c r="F12" s="16" t="s">
        <v>301</v>
      </c>
      <c r="G12" s="17" t="s">
        <v>71</v>
      </c>
      <c r="H12" s="17" t="s">
        <v>302</v>
      </c>
      <c r="I12" s="17">
        <v>750000000</v>
      </c>
      <c r="J12" s="16" t="s">
        <v>295</v>
      </c>
      <c r="K12" s="17" t="s">
        <v>303</v>
      </c>
    </row>
    <row r="19" spans="1:11" x14ac:dyDescent="0.25">
      <c r="A19" s="16">
        <v>167</v>
      </c>
      <c r="B19" s="16" t="s">
        <v>141</v>
      </c>
      <c r="C19" s="16" t="s">
        <v>142</v>
      </c>
      <c r="D19" s="16" t="s">
        <v>180</v>
      </c>
      <c r="E19" s="16" t="s">
        <v>181</v>
      </c>
      <c r="F19" s="16" t="s">
        <v>182</v>
      </c>
      <c r="G19" s="16" t="s">
        <v>71</v>
      </c>
      <c r="H19" s="17" t="s">
        <v>184</v>
      </c>
      <c r="I19" s="17">
        <v>375000000</v>
      </c>
      <c r="J19" s="11" t="s">
        <v>4</v>
      </c>
      <c r="K19" s="11" t="s">
        <v>166</v>
      </c>
    </row>
    <row r="20" spans="1:11" x14ac:dyDescent="0.25">
      <c r="A20" s="16">
        <v>169</v>
      </c>
      <c r="B20" s="16" t="s">
        <v>141</v>
      </c>
      <c r="C20" s="16" t="s">
        <v>142</v>
      </c>
      <c r="D20" s="16" t="s">
        <v>180</v>
      </c>
      <c r="E20" s="16" t="s">
        <v>298</v>
      </c>
      <c r="F20" s="16" t="s">
        <v>299</v>
      </c>
      <c r="G20" s="16" t="s">
        <v>71</v>
      </c>
      <c r="H20" s="17" t="s">
        <v>165</v>
      </c>
      <c r="I20" s="17">
        <v>375000000</v>
      </c>
      <c r="J20" s="17" t="s">
        <v>295</v>
      </c>
      <c r="K20" s="11" t="s">
        <v>166</v>
      </c>
    </row>
  </sheetData>
  <hyperlinks>
    <hyperlink ref="B1" r:id="rId1" location="'لیست اعضا'!A1" display="صورتحساب 246اعضا14040201 .xlsx - 'لیست اعضا'!A1" xr:uid="{2EC81912-5D6A-4C19-834B-39BF831F7A29}"/>
  </hyperlinks>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407A1-B606-4AEC-9260-C3A25C9A28EC}">
  <dimension ref="A1:Q24"/>
  <sheetViews>
    <sheetView rightToLeft="1" workbookViewId="0">
      <selection activeCell="D4" sqref="D4"/>
    </sheetView>
  </sheetViews>
  <sheetFormatPr defaultRowHeight="15" x14ac:dyDescent="0.25"/>
  <cols>
    <col min="2" max="2" width="18.85546875" bestFit="1" customWidth="1"/>
    <col min="3" max="3" width="61.85546875" customWidth="1"/>
    <col min="4" max="4" width="16.85546875" bestFit="1" customWidth="1"/>
    <col min="5" max="5" width="40.5703125" bestFit="1" customWidth="1"/>
    <col min="6" max="6" width="20.140625" customWidth="1"/>
    <col min="7" max="7" width="28.42578125" bestFit="1" customWidth="1"/>
    <col min="8" max="10" width="22.42578125" bestFit="1" customWidth="1"/>
    <col min="11" max="11" width="19" customWidth="1"/>
    <col min="12" max="12" width="18.28515625" customWidth="1"/>
    <col min="13" max="13" width="21.28515625" customWidth="1"/>
    <col min="14" max="14" width="22.7109375" customWidth="1"/>
    <col min="15" max="16" width="27" customWidth="1"/>
    <col min="17" max="17" width="24.140625" customWidth="1"/>
  </cols>
  <sheetData>
    <row r="1" spans="1:14" ht="15.75" thickBot="1" x14ac:dyDescent="0.3">
      <c r="B1" s="20" t="str">
        <f>'لیست اعضا'!$B$4</f>
        <v xml:space="preserve">محسن پویا </v>
      </c>
    </row>
    <row r="2" spans="1:14" ht="18" x14ac:dyDescent="0.25">
      <c r="A2" s="1" t="s">
        <v>0</v>
      </c>
      <c r="B2" s="2" t="s">
        <v>1</v>
      </c>
      <c r="C2" s="2" t="s">
        <v>2</v>
      </c>
      <c r="D2" s="43" t="s">
        <v>219</v>
      </c>
      <c r="E2" s="2" t="s">
        <v>221</v>
      </c>
      <c r="F2" s="2" t="s">
        <v>220</v>
      </c>
      <c r="G2" s="2" t="s">
        <v>222</v>
      </c>
      <c r="H2" s="2" t="s">
        <v>220</v>
      </c>
      <c r="I2" s="45" t="s">
        <v>225</v>
      </c>
      <c r="J2" s="2" t="s">
        <v>220</v>
      </c>
      <c r="K2" s="45" t="s">
        <v>397</v>
      </c>
      <c r="L2" s="45" t="s">
        <v>398</v>
      </c>
      <c r="M2" s="2" t="s">
        <v>399</v>
      </c>
      <c r="N2" s="45" t="s">
        <v>229</v>
      </c>
    </row>
    <row r="3" spans="1:14" ht="21.75" x14ac:dyDescent="0.25">
      <c r="A3" s="3">
        <v>3</v>
      </c>
      <c r="B3" s="5" t="s">
        <v>5</v>
      </c>
      <c r="C3" s="6">
        <v>1</v>
      </c>
      <c r="D3" s="6">
        <v>8000000000</v>
      </c>
      <c r="E3" s="47">
        <v>3500000000</v>
      </c>
      <c r="F3" s="47" t="s">
        <v>232</v>
      </c>
      <c r="G3" s="47">
        <v>2000000000</v>
      </c>
      <c r="H3" s="47" t="s">
        <v>232</v>
      </c>
      <c r="I3" s="47">
        <v>2500000000</v>
      </c>
      <c r="J3" s="47" t="s">
        <v>232</v>
      </c>
      <c r="K3" s="48"/>
      <c r="L3" s="48"/>
      <c r="M3" s="48">
        <f t="shared" ref="M3" si="0">E3+G3+I3+K3</f>
        <v>8000000000</v>
      </c>
      <c r="N3" s="47">
        <f t="shared" ref="N3" si="1">D3-M3</f>
        <v>0</v>
      </c>
    </row>
    <row r="4" spans="1:14" ht="15" customHeight="1" x14ac:dyDescent="0.25"/>
    <row r="5" spans="1:14" ht="15.75" x14ac:dyDescent="0.25">
      <c r="A5" s="52" t="s">
        <v>0</v>
      </c>
      <c r="B5" s="52" t="s">
        <v>40</v>
      </c>
      <c r="C5" s="52" t="s">
        <v>41</v>
      </c>
      <c r="D5" s="52" t="s">
        <v>42</v>
      </c>
      <c r="E5" s="52" t="s">
        <v>43</v>
      </c>
      <c r="F5" s="52" t="s">
        <v>44</v>
      </c>
      <c r="G5" s="52" t="s">
        <v>45</v>
      </c>
      <c r="H5" s="52" t="s">
        <v>396</v>
      </c>
      <c r="I5" s="15" t="s">
        <v>395</v>
      </c>
      <c r="J5" s="71" t="s">
        <v>394</v>
      </c>
      <c r="K5" s="71" t="s">
        <v>352</v>
      </c>
    </row>
    <row r="6" spans="1:14" x14ac:dyDescent="0.25">
      <c r="A6" s="11">
        <v>29</v>
      </c>
      <c r="B6" s="11" t="s">
        <v>339</v>
      </c>
      <c r="C6" s="11" t="s">
        <v>340</v>
      </c>
      <c r="D6" s="12">
        <v>10353572</v>
      </c>
      <c r="E6" s="11" t="s">
        <v>341</v>
      </c>
      <c r="F6" s="60">
        <v>308150564002286</v>
      </c>
      <c r="G6" s="11" t="s">
        <v>100</v>
      </c>
      <c r="H6" s="13">
        <v>3500000000</v>
      </c>
      <c r="I6" s="11" t="s">
        <v>342</v>
      </c>
      <c r="J6" s="11" t="s">
        <v>85</v>
      </c>
      <c r="K6" s="11" t="s">
        <v>59</v>
      </c>
    </row>
    <row r="7" spans="1:14" x14ac:dyDescent="0.25">
      <c r="A7" s="11">
        <v>62</v>
      </c>
      <c r="B7" s="11" t="s">
        <v>343</v>
      </c>
      <c r="C7" s="11" t="s">
        <v>344</v>
      </c>
      <c r="D7" s="12">
        <v>20867480</v>
      </c>
      <c r="E7" s="11" t="s">
        <v>367</v>
      </c>
      <c r="F7" s="60">
        <v>1731573548366400</v>
      </c>
      <c r="G7" s="11" t="s">
        <v>345</v>
      </c>
      <c r="H7" s="13">
        <v>2000000000</v>
      </c>
      <c r="I7" s="11" t="s">
        <v>346</v>
      </c>
      <c r="J7" s="11" t="s">
        <v>85</v>
      </c>
      <c r="K7" s="11" t="s">
        <v>59</v>
      </c>
    </row>
    <row r="8" spans="1:14" x14ac:dyDescent="0.25">
      <c r="A8" s="11">
        <v>63</v>
      </c>
      <c r="B8" s="11" t="s">
        <v>369</v>
      </c>
      <c r="C8" s="11"/>
      <c r="D8" s="12"/>
      <c r="E8" s="11" t="s">
        <v>368</v>
      </c>
      <c r="F8" s="60">
        <v>1731573548366400</v>
      </c>
      <c r="G8" s="11" t="s">
        <v>366</v>
      </c>
      <c r="H8" s="13">
        <v>2500000000</v>
      </c>
      <c r="I8" s="11" t="s">
        <v>346</v>
      </c>
      <c r="J8" s="11" t="s">
        <v>85</v>
      </c>
      <c r="K8" s="11" t="s">
        <v>59</v>
      </c>
    </row>
    <row r="17" spans="1:17" ht="15.75" x14ac:dyDescent="0.25">
      <c r="A17" s="52" t="s">
        <v>60</v>
      </c>
      <c r="B17" s="52" t="s">
        <v>40</v>
      </c>
      <c r="C17" s="52" t="s">
        <v>62</v>
      </c>
      <c r="D17" s="52" t="s">
        <v>63</v>
      </c>
      <c r="E17" s="52" t="s">
        <v>64</v>
      </c>
      <c r="F17" s="52" t="s">
        <v>107</v>
      </c>
      <c r="G17" s="52" t="s">
        <v>65</v>
      </c>
      <c r="H17" s="52" t="s">
        <v>396</v>
      </c>
      <c r="I17" s="52" t="s">
        <v>395</v>
      </c>
      <c r="J17" s="61" t="s">
        <v>394</v>
      </c>
      <c r="K17" s="61" t="s">
        <v>352</v>
      </c>
    </row>
    <row r="18" spans="1:17" x14ac:dyDescent="0.25">
      <c r="A18" s="68"/>
      <c r="B18" s="68" t="s">
        <v>79</v>
      </c>
      <c r="C18" s="68" t="s">
        <v>379</v>
      </c>
      <c r="D18" s="68"/>
      <c r="E18" s="68" t="s">
        <v>379</v>
      </c>
      <c r="F18" s="68"/>
      <c r="G18" s="68"/>
      <c r="H18" s="69">
        <v>750000000</v>
      </c>
      <c r="I18" s="68" t="s">
        <v>346</v>
      </c>
      <c r="J18" s="68" t="s">
        <v>382</v>
      </c>
      <c r="K18" s="68" t="s">
        <v>380</v>
      </c>
      <c r="Q18" s="67">
        <v>246</v>
      </c>
    </row>
    <row r="19" spans="1:17" x14ac:dyDescent="0.25">
      <c r="A19" s="68">
        <v>168</v>
      </c>
      <c r="B19" s="68" t="s">
        <v>347</v>
      </c>
      <c r="C19" s="68" t="s">
        <v>348</v>
      </c>
      <c r="D19" s="70" t="s">
        <v>349</v>
      </c>
      <c r="E19" s="68" t="s">
        <v>350</v>
      </c>
      <c r="F19" s="68" t="s">
        <v>351</v>
      </c>
      <c r="G19" s="68" t="s">
        <v>100</v>
      </c>
      <c r="H19" s="69">
        <v>750000000</v>
      </c>
      <c r="I19" s="68" t="s">
        <v>346</v>
      </c>
      <c r="J19" s="68" t="s">
        <v>383</v>
      </c>
      <c r="K19" s="68" t="s">
        <v>59</v>
      </c>
    </row>
    <row r="20" spans="1:17" x14ac:dyDescent="0.25">
      <c r="A20" s="68"/>
      <c r="B20" s="64" t="s">
        <v>385</v>
      </c>
      <c r="C20" s="68"/>
      <c r="D20" s="70"/>
      <c r="E20" s="68"/>
      <c r="F20" s="64" t="s">
        <v>384</v>
      </c>
      <c r="G20" s="68"/>
      <c r="H20" s="69">
        <v>750000000</v>
      </c>
      <c r="I20" s="68" t="s">
        <v>346</v>
      </c>
      <c r="J20" s="68" t="s">
        <v>166</v>
      </c>
      <c r="K20" s="68"/>
    </row>
    <row r="21" spans="1:17" ht="15.75" x14ac:dyDescent="0.25">
      <c r="A21" s="63" t="s">
        <v>359</v>
      </c>
      <c r="B21" s="64" t="s">
        <v>360</v>
      </c>
      <c r="C21" s="64" t="s">
        <v>361</v>
      </c>
      <c r="D21" s="64" t="s">
        <v>362</v>
      </c>
      <c r="E21" s="64" t="s">
        <v>363</v>
      </c>
      <c r="F21" s="64" t="s">
        <v>364</v>
      </c>
      <c r="G21" s="64" t="s">
        <v>365</v>
      </c>
      <c r="H21" s="69">
        <v>750000000</v>
      </c>
      <c r="I21" s="66" t="s">
        <v>342</v>
      </c>
      <c r="J21" s="66" t="s">
        <v>337</v>
      </c>
      <c r="K21" s="68" t="s">
        <v>378</v>
      </c>
    </row>
    <row r="22" spans="1:17" x14ac:dyDescent="0.25">
      <c r="A22" s="57">
        <v>21</v>
      </c>
      <c r="B22" s="57" t="s">
        <v>353</v>
      </c>
      <c r="C22" s="57" t="s">
        <v>354</v>
      </c>
      <c r="D22" s="57" t="s">
        <v>355</v>
      </c>
      <c r="E22" s="57" t="s">
        <v>356</v>
      </c>
      <c r="F22" s="57" t="s">
        <v>357</v>
      </c>
      <c r="G22" s="57" t="s">
        <v>358</v>
      </c>
      <c r="H22" s="69">
        <v>750000000</v>
      </c>
      <c r="I22" s="66" t="s">
        <v>342</v>
      </c>
      <c r="J22" s="66" t="s">
        <v>303</v>
      </c>
      <c r="K22" s="68" t="s">
        <v>381</v>
      </c>
    </row>
    <row r="23" spans="1:17" x14ac:dyDescent="0.25">
      <c r="A23" s="65" t="s">
        <v>370</v>
      </c>
      <c r="B23" s="65" t="s">
        <v>371</v>
      </c>
      <c r="C23" s="65" t="s">
        <v>372</v>
      </c>
      <c r="D23" s="65" t="s">
        <v>373</v>
      </c>
      <c r="E23" s="65" t="s">
        <v>374</v>
      </c>
      <c r="F23" s="65" t="s">
        <v>375</v>
      </c>
      <c r="G23" s="65" t="s">
        <v>376</v>
      </c>
      <c r="H23" s="69">
        <v>750000000</v>
      </c>
      <c r="I23" s="66" t="s">
        <v>342</v>
      </c>
      <c r="J23" s="66" t="s">
        <v>377</v>
      </c>
      <c r="K23" s="68" t="s">
        <v>378</v>
      </c>
    </row>
    <row r="24" spans="1:17" x14ac:dyDescent="0.25">
      <c r="H24" s="69"/>
    </row>
  </sheetData>
  <phoneticPr fontId="25" type="noConversion"/>
  <hyperlinks>
    <hyperlink ref="B1" location="'لیست اعضا'!A1" display="'لیست اعضا'!A1" xr:uid="{1E876DB6-01BF-4154-88B2-DFD1C8E4FB0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4ED84-FFFF-4504-BC75-B15A1EC36866}">
  <dimension ref="A1:J10"/>
  <sheetViews>
    <sheetView rightToLeft="1" workbookViewId="0">
      <selection sqref="A1:J9"/>
    </sheetView>
  </sheetViews>
  <sheetFormatPr defaultRowHeight="15" x14ac:dyDescent="0.25"/>
  <cols>
    <col min="2" max="2" width="18.85546875" bestFit="1" customWidth="1"/>
    <col min="3" max="3" width="61.85546875" customWidth="1"/>
    <col min="4" max="4" width="10.140625" bestFit="1" customWidth="1"/>
    <col min="6" max="6" width="20.140625" customWidth="1"/>
    <col min="7" max="7" width="28.42578125" bestFit="1" customWidth="1"/>
    <col min="8" max="8" width="22.42578125" bestFit="1" customWidth="1"/>
    <col min="9" max="9" width="19" customWidth="1"/>
    <col min="10" max="10" width="22.42578125" bestFit="1" customWidth="1"/>
  </cols>
  <sheetData>
    <row r="1" spans="1:10" x14ac:dyDescent="0.25">
      <c r="B1" s="41" t="s">
        <v>7</v>
      </c>
    </row>
    <row r="2" spans="1:10" x14ac:dyDescent="0.25">
      <c r="B2" s="20"/>
      <c r="C2" t="s">
        <v>189</v>
      </c>
    </row>
    <row r="3" spans="1:10" x14ac:dyDescent="0.25">
      <c r="A3" s="11" t="s">
        <v>0</v>
      </c>
      <c r="B3" s="11" t="s">
        <v>40</v>
      </c>
      <c r="C3" s="11" t="s">
        <v>41</v>
      </c>
      <c r="D3" s="11" t="s">
        <v>42</v>
      </c>
      <c r="E3" s="11" t="s">
        <v>43</v>
      </c>
      <c r="F3" s="11" t="s">
        <v>44</v>
      </c>
      <c r="G3" s="11" t="s">
        <v>45</v>
      </c>
      <c r="H3" s="11" t="s">
        <v>46</v>
      </c>
      <c r="I3" s="11" t="s">
        <v>49</v>
      </c>
      <c r="J3" s="11" t="s">
        <v>58</v>
      </c>
    </row>
    <row r="4" spans="1:10" x14ac:dyDescent="0.25">
      <c r="A4" s="11">
        <v>68</v>
      </c>
      <c r="B4" s="11" t="s">
        <v>186</v>
      </c>
      <c r="C4" s="11" t="s">
        <v>187</v>
      </c>
      <c r="D4" s="12">
        <v>10970205</v>
      </c>
      <c r="E4" s="11"/>
      <c r="F4" s="11"/>
      <c r="G4" s="11" t="s">
        <v>51</v>
      </c>
      <c r="H4" s="33">
        <v>1350000000</v>
      </c>
      <c r="I4" s="11" t="s">
        <v>188</v>
      </c>
      <c r="J4" s="13" t="s">
        <v>59</v>
      </c>
    </row>
    <row r="5" spans="1:10" x14ac:dyDescent="0.25">
      <c r="A5" s="36">
        <v>69</v>
      </c>
      <c r="B5" s="36" t="s">
        <v>204</v>
      </c>
      <c r="C5" s="36" t="s">
        <v>205</v>
      </c>
      <c r="D5" s="37">
        <v>10970334</v>
      </c>
      <c r="E5" s="36"/>
      <c r="F5" s="36"/>
      <c r="G5" s="36" t="s">
        <v>51</v>
      </c>
      <c r="H5" s="38">
        <v>1250000000</v>
      </c>
      <c r="I5" s="36" t="s">
        <v>188</v>
      </c>
      <c r="J5" s="13" t="s">
        <v>59</v>
      </c>
    </row>
    <row r="6" spans="1:10" x14ac:dyDescent="0.25">
      <c r="A6" s="18">
        <v>113</v>
      </c>
      <c r="B6" s="23" t="s">
        <v>206</v>
      </c>
      <c r="C6" s="24" t="s">
        <v>208</v>
      </c>
      <c r="D6" s="23" t="s">
        <v>207</v>
      </c>
      <c r="E6" s="11"/>
      <c r="F6" s="11"/>
      <c r="G6" s="23" t="s">
        <v>60</v>
      </c>
      <c r="H6" s="25">
        <v>500000000</v>
      </c>
      <c r="I6" s="11" t="s">
        <v>209</v>
      </c>
      <c r="J6" s="11" t="s">
        <v>167</v>
      </c>
    </row>
    <row r="7" spans="1:10" x14ac:dyDescent="0.25">
      <c r="G7" t="s">
        <v>172</v>
      </c>
      <c r="H7" s="34">
        <f>SUM(H4:H6)</f>
        <v>3100000000</v>
      </c>
    </row>
    <row r="8" spans="1:10" x14ac:dyDescent="0.25">
      <c r="G8" t="s">
        <v>173</v>
      </c>
      <c r="H8" s="34">
        <v>4000000000</v>
      </c>
    </row>
    <row r="9" spans="1:10" x14ac:dyDescent="0.25">
      <c r="G9" t="s">
        <v>174</v>
      </c>
      <c r="H9" s="34">
        <f>H8-H7</f>
        <v>900000000</v>
      </c>
    </row>
    <row r="10" spans="1:10" x14ac:dyDescent="0.25">
      <c r="H10" s="34"/>
    </row>
  </sheetData>
  <hyperlinks>
    <hyperlink ref="B1" location="'لیست اعضا'!A1" display="نرگس حاجی قاسمی" xr:uid="{9E86A829-DEBA-4C9C-8F51-B3617906B783}"/>
  </hyperlink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8F439-885E-41BC-BAA1-80EDDA5666FC}">
  <dimension ref="A1:Q4"/>
  <sheetViews>
    <sheetView rightToLeft="1" workbookViewId="0">
      <selection activeCell="D18" sqref="D18"/>
    </sheetView>
  </sheetViews>
  <sheetFormatPr defaultRowHeight="15" x14ac:dyDescent="0.25"/>
  <cols>
    <col min="1" max="1" width="5.85546875" customWidth="1"/>
    <col min="2" max="2" width="40.28515625" customWidth="1"/>
    <col min="3" max="3" width="14" customWidth="1"/>
    <col min="4" max="4" width="24" customWidth="1"/>
    <col min="5" max="5" width="20.85546875" bestFit="1" customWidth="1"/>
    <col min="6" max="7" width="22.42578125" customWidth="1"/>
    <col min="8" max="11" width="23.28515625" customWidth="1"/>
    <col min="12" max="12" width="18.28515625" customWidth="1"/>
    <col min="13" max="13" width="21.28515625" customWidth="1"/>
    <col min="14" max="14" width="22.7109375" customWidth="1"/>
    <col min="15" max="16" width="27" customWidth="1"/>
    <col min="17" max="17" width="24.140625" customWidth="1"/>
  </cols>
  <sheetData>
    <row r="1" spans="1:17" x14ac:dyDescent="0.25">
      <c r="B1" s="20" t="s">
        <v>213</v>
      </c>
    </row>
    <row r="2" spans="1:17" ht="15.75" thickBot="1" x14ac:dyDescent="0.3"/>
    <row r="3" spans="1:17" ht="18.75" x14ac:dyDescent="0.25">
      <c r="A3" s="1" t="s">
        <v>0</v>
      </c>
      <c r="B3" s="2" t="s">
        <v>1</v>
      </c>
      <c r="C3" s="2" t="s">
        <v>2</v>
      </c>
      <c r="D3" s="43" t="s">
        <v>219</v>
      </c>
      <c r="E3" s="44" t="s">
        <v>220</v>
      </c>
      <c r="F3" s="2" t="s">
        <v>221</v>
      </c>
      <c r="G3" s="2" t="s">
        <v>220</v>
      </c>
      <c r="H3" s="2" t="s">
        <v>222</v>
      </c>
      <c r="I3" s="2" t="s">
        <v>223</v>
      </c>
      <c r="J3" s="2" t="s">
        <v>224</v>
      </c>
      <c r="K3" s="2" t="s">
        <v>220</v>
      </c>
      <c r="L3" s="2" t="s">
        <v>220</v>
      </c>
      <c r="M3" s="45" t="s">
        <v>225</v>
      </c>
      <c r="N3" s="2" t="s">
        <v>226</v>
      </c>
      <c r="O3" s="45" t="s">
        <v>227</v>
      </c>
      <c r="P3" s="45" t="s">
        <v>228</v>
      </c>
      <c r="Q3" s="45" t="s">
        <v>229</v>
      </c>
    </row>
    <row r="4" spans="1:17" ht="21.75" x14ac:dyDescent="0.25">
      <c r="A4" s="3">
        <v>8</v>
      </c>
      <c r="B4" s="7" t="s">
        <v>9</v>
      </c>
      <c r="C4" s="4">
        <v>0.25</v>
      </c>
      <c r="D4" s="6">
        <v>2000000000</v>
      </c>
      <c r="E4" s="46" t="s">
        <v>233</v>
      </c>
      <c r="F4" s="47">
        <f>'[1]اعضای اصلی'!$E$8</f>
        <v>425000000</v>
      </c>
      <c r="G4" s="47" t="s">
        <v>234</v>
      </c>
      <c r="H4" s="47">
        <f>'[1]اعضای اصلی'!$G$8</f>
        <v>625000000</v>
      </c>
      <c r="I4" s="47">
        <f t="shared" ref="I4" si="0">F4+H4</f>
        <v>1050000000</v>
      </c>
      <c r="J4" s="47">
        <v>950000000</v>
      </c>
      <c r="K4" s="47" t="s">
        <v>234</v>
      </c>
      <c r="L4" s="47" t="s">
        <v>230</v>
      </c>
      <c r="M4" s="47">
        <v>950000000</v>
      </c>
      <c r="N4" s="48">
        <f t="shared" ref="N4" si="1">F4+H4+M4</f>
        <v>2000000000</v>
      </c>
      <c r="O4" s="48">
        <f t="shared" ref="O4" si="2">I4+M4</f>
        <v>2000000000</v>
      </c>
      <c r="P4" s="48"/>
      <c r="Q4" s="49">
        <f t="shared" ref="Q4" si="3">O4-D4</f>
        <v>0</v>
      </c>
    </row>
  </sheetData>
  <hyperlinks>
    <hyperlink ref="B1" r:id="rId1" location="'لیست اعضا'!A1" xr:uid="{CD925203-2840-469C-8269-3074F8A8583B}"/>
  </hyperlinks>
  <pageMargins left="0.7" right="0.7" top="0.75" bottom="0.75" header="0.3" footer="0.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7B996-7DD2-4E86-9BE0-11D522D8F4B9}">
  <dimension ref="A1:J8"/>
  <sheetViews>
    <sheetView rightToLeft="1" workbookViewId="0">
      <selection activeCell="B1" sqref="B1"/>
    </sheetView>
  </sheetViews>
  <sheetFormatPr defaultRowHeight="15" x14ac:dyDescent="0.25"/>
  <cols>
    <col min="2" max="2" width="18.85546875" bestFit="1" customWidth="1"/>
    <col min="3" max="3" width="61.85546875" customWidth="1"/>
    <col min="4" max="4" width="10.140625" bestFit="1" customWidth="1"/>
    <col min="6" max="6" width="20.140625" customWidth="1"/>
    <col min="7" max="7" width="28.42578125" bestFit="1" customWidth="1"/>
    <col min="8" max="10" width="22.42578125" bestFit="1" customWidth="1"/>
    <col min="11" max="11" width="19" customWidth="1"/>
  </cols>
  <sheetData>
    <row r="1" spans="1:10" x14ac:dyDescent="0.25">
      <c r="B1" s="20" t="s">
        <v>8</v>
      </c>
    </row>
    <row r="3" spans="1:10" x14ac:dyDescent="0.25">
      <c r="C3" t="s">
        <v>195</v>
      </c>
    </row>
    <row r="4" spans="1:10" x14ac:dyDescent="0.25">
      <c r="A4" s="11" t="s">
        <v>0</v>
      </c>
      <c r="B4" s="11" t="s">
        <v>40</v>
      </c>
      <c r="C4" s="11" t="s">
        <v>41</v>
      </c>
      <c r="D4" s="11" t="s">
        <v>42</v>
      </c>
      <c r="E4" s="11" t="s">
        <v>43</v>
      </c>
      <c r="F4" s="11" t="s">
        <v>44</v>
      </c>
      <c r="G4" s="11" t="s">
        <v>45</v>
      </c>
      <c r="H4" s="11" t="s">
        <v>46</v>
      </c>
      <c r="I4" s="11" t="s">
        <v>49</v>
      </c>
      <c r="J4" s="11" t="s">
        <v>58</v>
      </c>
    </row>
    <row r="5" spans="1:10" x14ac:dyDescent="0.25">
      <c r="A5" s="11">
        <v>67</v>
      </c>
      <c r="B5" s="11" t="s">
        <v>190</v>
      </c>
      <c r="C5" s="11" t="s">
        <v>210</v>
      </c>
      <c r="D5" s="12">
        <v>10968116</v>
      </c>
      <c r="E5" s="11"/>
      <c r="F5" s="11"/>
      <c r="G5" s="11" t="s">
        <v>51</v>
      </c>
      <c r="H5" s="39">
        <v>1300000000</v>
      </c>
      <c r="I5" s="11" t="s">
        <v>211</v>
      </c>
      <c r="J5" s="13" t="s">
        <v>59</v>
      </c>
    </row>
    <row r="6" spans="1:10" x14ac:dyDescent="0.25">
      <c r="G6" t="s">
        <v>172</v>
      </c>
      <c r="H6" s="39">
        <v>1300000000</v>
      </c>
    </row>
    <row r="7" spans="1:10" x14ac:dyDescent="0.25">
      <c r="G7" t="s">
        <v>173</v>
      </c>
      <c r="H7" s="39">
        <v>2000000000</v>
      </c>
    </row>
    <row r="8" spans="1:10" x14ac:dyDescent="0.25">
      <c r="G8" t="s">
        <v>174</v>
      </c>
      <c r="H8" s="34">
        <f>H7-H6</f>
        <v>700000000</v>
      </c>
    </row>
  </sheetData>
  <hyperlinks>
    <hyperlink ref="B1" location="'لیست اعضا'!A1" display="یوسف حاجی قاسمی" xr:uid="{B6865038-E467-442D-BE79-9FC131D2F3B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C6DC8-7C25-4669-8482-ED0E94E4EC5F}">
  <dimension ref="A1:Q23"/>
  <sheetViews>
    <sheetView rightToLeft="1" workbookViewId="0">
      <selection activeCell="H28" sqref="H28"/>
    </sheetView>
  </sheetViews>
  <sheetFormatPr defaultRowHeight="15" x14ac:dyDescent="0.25"/>
  <cols>
    <col min="1" max="1" width="6.28515625" customWidth="1"/>
    <col min="2" max="2" width="8.5703125" customWidth="1"/>
    <col min="3" max="3" width="14" customWidth="1"/>
    <col min="4" max="4" width="11.5703125" customWidth="1"/>
    <col min="5" max="5" width="10.85546875" customWidth="1"/>
    <col min="6" max="6" width="15.7109375" customWidth="1"/>
    <col min="7" max="7" width="28" customWidth="1"/>
    <col min="8" max="8" width="17.5703125" customWidth="1"/>
    <col min="9" max="9" width="46" customWidth="1"/>
    <col min="10" max="12" width="18" customWidth="1"/>
    <col min="13" max="13" width="16.140625" customWidth="1"/>
    <col min="14" max="14" width="35" bestFit="1" customWidth="1"/>
    <col min="15" max="16" width="27" customWidth="1"/>
    <col min="17" max="17" width="24.140625" customWidth="1"/>
  </cols>
  <sheetData>
    <row r="1" spans="1:17" x14ac:dyDescent="0.25">
      <c r="B1" s="20" t="s">
        <v>13</v>
      </c>
    </row>
    <row r="2" spans="1:17" ht="15.75" thickBot="1" x14ac:dyDescent="0.3">
      <c r="B2" s="20"/>
    </row>
    <row r="3" spans="1:17" ht="18.75" x14ac:dyDescent="0.25">
      <c r="A3" s="1" t="s">
        <v>0</v>
      </c>
      <c r="B3" s="2" t="s">
        <v>1</v>
      </c>
      <c r="C3" s="2" t="s">
        <v>2</v>
      </c>
      <c r="D3" s="43" t="s">
        <v>219</v>
      </c>
      <c r="E3" s="44" t="s">
        <v>220</v>
      </c>
      <c r="F3" s="2" t="s">
        <v>221</v>
      </c>
      <c r="G3" s="2" t="s">
        <v>220</v>
      </c>
      <c r="H3" s="2" t="s">
        <v>222</v>
      </c>
      <c r="I3" s="2" t="s">
        <v>223</v>
      </c>
      <c r="J3" s="2" t="s">
        <v>224</v>
      </c>
      <c r="K3" s="2" t="s">
        <v>220</v>
      </c>
      <c r="L3" s="2" t="s">
        <v>220</v>
      </c>
      <c r="M3" s="45" t="s">
        <v>225</v>
      </c>
      <c r="N3" s="2" t="s">
        <v>226</v>
      </c>
      <c r="O3" s="45" t="s">
        <v>227</v>
      </c>
      <c r="P3" s="45" t="s">
        <v>228</v>
      </c>
      <c r="Q3" s="45" t="s">
        <v>229</v>
      </c>
    </row>
    <row r="4" spans="1:17" ht="21.75" x14ac:dyDescent="0.25">
      <c r="A4" s="3">
        <v>10</v>
      </c>
      <c r="B4" s="5" t="s">
        <v>13</v>
      </c>
      <c r="C4" s="6">
        <v>1</v>
      </c>
      <c r="D4" s="6">
        <v>8000000000</v>
      </c>
      <c r="E4" s="46" t="s">
        <v>231</v>
      </c>
      <c r="F4" s="47">
        <v>3000000000</v>
      </c>
      <c r="G4" s="47" t="s">
        <v>232</v>
      </c>
      <c r="H4" s="47">
        <v>2500000000</v>
      </c>
      <c r="I4" s="47">
        <f t="shared" ref="I4" si="0">F4+H4</f>
        <v>5500000000</v>
      </c>
      <c r="J4" s="47">
        <f t="shared" ref="J4" si="1">D4-I4-M4</f>
        <v>0</v>
      </c>
      <c r="K4" s="47" t="s">
        <v>232</v>
      </c>
      <c r="L4" s="47" t="s">
        <v>232</v>
      </c>
      <c r="M4" s="47">
        <v>2500000000</v>
      </c>
      <c r="N4" s="48">
        <f t="shared" ref="N4" si="2">F4+H4+M4</f>
        <v>8000000000</v>
      </c>
      <c r="O4" s="48">
        <f t="shared" ref="O4" si="3">I4+M4</f>
        <v>8000000000</v>
      </c>
      <c r="P4" s="48"/>
      <c r="Q4" s="47">
        <f t="shared" ref="Q4" si="4">O4-D4</f>
        <v>0</v>
      </c>
    </row>
    <row r="11" spans="1:17" x14ac:dyDescent="0.25">
      <c r="A11" s="11" t="s">
        <v>0</v>
      </c>
      <c r="B11" s="11" t="s">
        <v>40</v>
      </c>
      <c r="C11" s="11" t="s">
        <v>41</v>
      </c>
      <c r="D11" s="11" t="s">
        <v>42</v>
      </c>
      <c r="E11" s="11" t="s">
        <v>43</v>
      </c>
      <c r="F11" s="11" t="s">
        <v>44</v>
      </c>
      <c r="G11" s="11" t="s">
        <v>45</v>
      </c>
      <c r="H11" s="11" t="s">
        <v>46</v>
      </c>
      <c r="I11" s="11" t="s">
        <v>47</v>
      </c>
      <c r="J11" s="11" t="s">
        <v>48</v>
      </c>
      <c r="K11" s="11" t="s">
        <v>49</v>
      </c>
    </row>
    <row r="12" spans="1:17" x14ac:dyDescent="0.25">
      <c r="A12" s="11">
        <v>27</v>
      </c>
      <c r="B12" s="11" t="s">
        <v>386</v>
      </c>
      <c r="C12" s="11" t="s">
        <v>387</v>
      </c>
      <c r="D12" s="12">
        <v>10353552</v>
      </c>
      <c r="E12" s="11" t="s">
        <v>388</v>
      </c>
      <c r="F12" s="60">
        <v>308150564002175</v>
      </c>
      <c r="G12" s="11" t="s">
        <v>100</v>
      </c>
      <c r="H12" s="13">
        <v>2500000000</v>
      </c>
      <c r="I12" s="13">
        <v>0</v>
      </c>
      <c r="J12" s="13">
        <v>20000134179</v>
      </c>
      <c r="K12" s="11" t="s">
        <v>13</v>
      </c>
    </row>
    <row r="17" spans="1:13" x14ac:dyDescent="0.25">
      <c r="A17" s="15" t="s">
        <v>60</v>
      </c>
      <c r="B17" s="15" t="s">
        <v>61</v>
      </c>
      <c r="C17" s="15" t="s">
        <v>45</v>
      </c>
      <c r="D17" s="15" t="s">
        <v>40</v>
      </c>
      <c r="E17" s="15" t="s">
        <v>62</v>
      </c>
      <c r="F17" s="15" t="s">
        <v>63</v>
      </c>
      <c r="G17" s="15" t="s">
        <v>64</v>
      </c>
      <c r="H17" s="15" t="s">
        <v>107</v>
      </c>
      <c r="I17" s="15" t="s">
        <v>65</v>
      </c>
      <c r="J17" s="15" t="s">
        <v>67</v>
      </c>
      <c r="K17" s="15" t="s">
        <v>69</v>
      </c>
      <c r="L17" s="11"/>
      <c r="M17" s="11"/>
    </row>
    <row r="18" spans="1:13" x14ac:dyDescent="0.25">
      <c r="A18" s="11"/>
      <c r="B18" s="11"/>
      <c r="C18" s="11"/>
      <c r="D18" s="11"/>
      <c r="E18" s="11"/>
      <c r="F18" s="11"/>
      <c r="G18" s="11"/>
      <c r="H18" s="11" t="s">
        <v>417</v>
      </c>
      <c r="I18" s="24" t="s">
        <v>414</v>
      </c>
      <c r="J18" s="25">
        <v>750000000</v>
      </c>
      <c r="K18" s="11"/>
      <c r="L18" s="11" t="s">
        <v>413</v>
      </c>
      <c r="M18" s="11" t="s">
        <v>415</v>
      </c>
    </row>
    <row r="19" spans="1:13" x14ac:dyDescent="0.25">
      <c r="A19" s="11">
        <v>156</v>
      </c>
      <c r="B19" s="11" t="s">
        <v>389</v>
      </c>
      <c r="C19" s="11"/>
      <c r="D19" s="11" t="s">
        <v>391</v>
      </c>
      <c r="E19" s="11" t="s">
        <v>392</v>
      </c>
      <c r="F19" s="11" t="s">
        <v>393</v>
      </c>
      <c r="G19" s="11" t="s">
        <v>100</v>
      </c>
      <c r="H19" s="11" t="s">
        <v>418</v>
      </c>
      <c r="I19" s="11" t="s">
        <v>390</v>
      </c>
      <c r="J19" s="25">
        <v>750000000</v>
      </c>
      <c r="K19" s="11" t="s">
        <v>13</v>
      </c>
      <c r="L19" s="11" t="s">
        <v>162</v>
      </c>
      <c r="M19" s="11" t="s">
        <v>59</v>
      </c>
    </row>
    <row r="20" spans="1:13" x14ac:dyDescent="0.25">
      <c r="A20" s="11"/>
      <c r="B20" s="11"/>
      <c r="C20" s="11"/>
      <c r="D20" s="11"/>
      <c r="E20" s="11"/>
      <c r="F20" s="11"/>
      <c r="G20" s="11"/>
      <c r="H20" s="11" t="s">
        <v>419</v>
      </c>
      <c r="I20" s="24" t="s">
        <v>416</v>
      </c>
      <c r="J20" s="25">
        <v>750000000</v>
      </c>
      <c r="K20" s="11"/>
      <c r="L20" s="11" t="s">
        <v>412</v>
      </c>
      <c r="M20" s="11"/>
    </row>
    <row r="21" spans="1:13" x14ac:dyDescent="0.25">
      <c r="A21" s="11">
        <v>126</v>
      </c>
      <c r="B21" s="11" t="s">
        <v>144</v>
      </c>
      <c r="C21" s="11" t="s">
        <v>145</v>
      </c>
      <c r="D21" s="11" t="s">
        <v>333</v>
      </c>
      <c r="E21" s="11" t="s">
        <v>401</v>
      </c>
      <c r="F21" s="11" t="s">
        <v>402</v>
      </c>
      <c r="G21" s="11" t="s">
        <v>60</v>
      </c>
      <c r="H21" s="11" t="s">
        <v>60</v>
      </c>
      <c r="I21" s="11" t="s">
        <v>403</v>
      </c>
      <c r="J21" s="25">
        <v>750000000</v>
      </c>
      <c r="K21" s="11" t="s">
        <v>13</v>
      </c>
      <c r="L21" s="11" t="s">
        <v>337</v>
      </c>
      <c r="M21" s="11" t="s">
        <v>167</v>
      </c>
    </row>
    <row r="22" spans="1:13" x14ac:dyDescent="0.25">
      <c r="A22" s="18">
        <v>163</v>
      </c>
      <c r="B22" s="23" t="s">
        <v>71</v>
      </c>
      <c r="C22" s="23" t="s">
        <v>72</v>
      </c>
      <c r="D22" s="23" t="s">
        <v>281</v>
      </c>
      <c r="E22" s="23" t="s">
        <v>404</v>
      </c>
      <c r="F22" s="23" t="s">
        <v>405</v>
      </c>
      <c r="G22" s="23" t="s">
        <v>406</v>
      </c>
      <c r="H22" s="18" t="s">
        <v>60</v>
      </c>
      <c r="I22" s="24" t="s">
        <v>407</v>
      </c>
      <c r="J22" s="25">
        <v>750000000</v>
      </c>
      <c r="K22" s="18" t="s">
        <v>13</v>
      </c>
      <c r="L22" s="11" t="s">
        <v>303</v>
      </c>
      <c r="M22" s="11" t="s">
        <v>167</v>
      </c>
    </row>
    <row r="23" spans="1:13" x14ac:dyDescent="0.25">
      <c r="A23" s="18">
        <v>183</v>
      </c>
      <c r="B23" s="23" t="s">
        <v>144</v>
      </c>
      <c r="C23" s="23" t="s">
        <v>145</v>
      </c>
      <c r="D23" s="23" t="s">
        <v>408</v>
      </c>
      <c r="E23" s="23" t="s">
        <v>409</v>
      </c>
      <c r="F23" s="23" t="s">
        <v>410</v>
      </c>
      <c r="G23" s="23" t="s">
        <v>60</v>
      </c>
      <c r="H23" s="18" t="s">
        <v>60</v>
      </c>
      <c r="I23" s="24" t="s">
        <v>411</v>
      </c>
      <c r="J23" s="25">
        <v>750000000</v>
      </c>
      <c r="K23" s="18" t="s">
        <v>13</v>
      </c>
      <c r="L23" s="11" t="s">
        <v>377</v>
      </c>
      <c r="M23" s="11" t="s">
        <v>167</v>
      </c>
    </row>
  </sheetData>
  <phoneticPr fontId="25" type="noConversion"/>
  <hyperlinks>
    <hyperlink ref="B1" r:id="rId1" location="'لیست اعضا'!A1" xr:uid="{255C6E3D-6066-44F1-8F9D-B43EAAF757AB}"/>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D36E4-2F2D-4EB1-AFCD-1569C6AFC471}">
  <dimension ref="A1:Q14"/>
  <sheetViews>
    <sheetView rightToLeft="1" topLeftCell="B1" workbookViewId="0">
      <selection activeCell="L20" sqref="L20"/>
    </sheetView>
  </sheetViews>
  <sheetFormatPr defaultRowHeight="15" x14ac:dyDescent="0.25"/>
  <cols>
    <col min="1" max="1" width="5.42578125" customWidth="1"/>
    <col min="2" max="3" width="14" customWidth="1"/>
    <col min="4" max="4" width="11.5703125" customWidth="1"/>
    <col min="5" max="5" width="20" customWidth="1"/>
    <col min="6" max="6" width="21.28515625" customWidth="1"/>
    <col min="7" max="7" width="28" customWidth="1"/>
    <col min="8" max="8" width="46" customWidth="1"/>
    <col min="9" max="11" width="18" customWidth="1"/>
    <col min="12" max="12" width="20" customWidth="1"/>
    <col min="13" max="13" width="13.85546875" customWidth="1"/>
    <col min="14" max="14" width="22.7109375" customWidth="1"/>
    <col min="15" max="16" width="27" customWidth="1"/>
    <col min="17" max="17" width="24.140625" customWidth="1"/>
  </cols>
  <sheetData>
    <row r="1" spans="1:17" x14ac:dyDescent="0.25">
      <c r="B1" s="20" t="s">
        <v>212</v>
      </c>
    </row>
    <row r="2" spans="1:17" ht="15.75" thickBot="1" x14ac:dyDescent="0.3"/>
    <row r="3" spans="1:17" ht="18.75" x14ac:dyDescent="0.25">
      <c r="A3" s="1" t="s">
        <v>0</v>
      </c>
      <c r="B3" s="2" t="s">
        <v>1</v>
      </c>
      <c r="C3" s="2" t="s">
        <v>2</v>
      </c>
      <c r="D3" s="43" t="s">
        <v>219</v>
      </c>
      <c r="E3" s="44" t="s">
        <v>220</v>
      </c>
      <c r="F3" s="2" t="s">
        <v>221</v>
      </c>
      <c r="G3" s="2" t="s">
        <v>220</v>
      </c>
      <c r="H3" s="2" t="s">
        <v>222</v>
      </c>
      <c r="I3" s="2" t="s">
        <v>223</v>
      </c>
      <c r="J3" s="2" t="s">
        <v>224</v>
      </c>
      <c r="K3" s="2" t="s">
        <v>220</v>
      </c>
      <c r="L3" s="2" t="s">
        <v>220</v>
      </c>
      <c r="M3" s="45" t="s">
        <v>225</v>
      </c>
      <c r="N3" s="2" t="s">
        <v>226</v>
      </c>
      <c r="O3" s="45" t="s">
        <v>227</v>
      </c>
      <c r="P3" s="45" t="s">
        <v>228</v>
      </c>
      <c r="Q3" s="45" t="s">
        <v>229</v>
      </c>
    </row>
    <row r="4" spans="1:17" ht="21.75" x14ac:dyDescent="0.25">
      <c r="A4" s="3">
        <v>9</v>
      </c>
      <c r="B4" s="5" t="s">
        <v>12</v>
      </c>
      <c r="C4" s="6">
        <v>1</v>
      </c>
      <c r="D4" s="6">
        <v>8000000000</v>
      </c>
      <c r="E4" s="46" t="s">
        <v>231</v>
      </c>
      <c r="F4" s="47">
        <v>3000000000</v>
      </c>
      <c r="G4" s="47" t="s">
        <v>232</v>
      </c>
      <c r="H4" s="47">
        <v>2500000000</v>
      </c>
      <c r="I4" s="47">
        <f t="shared" ref="I4" si="0">F4+H4</f>
        <v>5500000000</v>
      </c>
      <c r="J4" s="47">
        <f t="shared" ref="J4" si="1">D4-I4-M4</f>
        <v>0</v>
      </c>
      <c r="K4" s="47" t="s">
        <v>232</v>
      </c>
      <c r="L4" s="47" t="s">
        <v>232</v>
      </c>
      <c r="M4" s="47">
        <v>2500000000</v>
      </c>
      <c r="N4" s="48">
        <f t="shared" ref="N4" si="2">F4+H4+M4</f>
        <v>8000000000</v>
      </c>
      <c r="O4" s="48">
        <f t="shared" ref="O4" si="3">I4+M4</f>
        <v>8000000000</v>
      </c>
      <c r="P4" s="48"/>
      <c r="Q4" s="47">
        <f t="shared" ref="Q4" si="4">O4-D4</f>
        <v>0</v>
      </c>
    </row>
    <row r="9" spans="1:17" x14ac:dyDescent="0.25">
      <c r="A9" s="15" t="s">
        <v>60</v>
      </c>
      <c r="B9" s="15" t="s">
        <v>61</v>
      </c>
      <c r="C9" s="15" t="s">
        <v>45</v>
      </c>
      <c r="D9" s="15" t="s">
        <v>40</v>
      </c>
      <c r="E9" s="15" t="s">
        <v>62</v>
      </c>
      <c r="F9" s="15" t="s">
        <v>63</v>
      </c>
      <c r="G9" s="15" t="s">
        <v>64</v>
      </c>
      <c r="H9" s="15" t="s">
        <v>65</v>
      </c>
      <c r="I9" s="15" t="s">
        <v>66</v>
      </c>
      <c r="J9" s="15" t="s">
        <v>67</v>
      </c>
      <c r="K9" s="15" t="s">
        <v>68</v>
      </c>
      <c r="L9" s="15" t="s">
        <v>69</v>
      </c>
      <c r="M9" s="15" t="s">
        <v>70</v>
      </c>
    </row>
    <row r="10" spans="1:17" x14ac:dyDescent="0.25">
      <c r="A10" s="57">
        <v>93</v>
      </c>
      <c r="B10" s="54" t="s">
        <v>71</v>
      </c>
      <c r="C10" s="54" t="s">
        <v>72</v>
      </c>
      <c r="D10" s="54" t="s">
        <v>420</v>
      </c>
      <c r="E10" s="54" t="s">
        <v>421</v>
      </c>
      <c r="F10" s="54" t="s">
        <v>422</v>
      </c>
      <c r="G10" s="54" t="s">
        <v>60</v>
      </c>
      <c r="H10" s="54" t="s">
        <v>423</v>
      </c>
      <c r="I10" s="58">
        <v>0</v>
      </c>
      <c r="J10" s="58">
        <v>750000000</v>
      </c>
      <c r="K10" s="58">
        <v>2945276044</v>
      </c>
      <c r="L10" s="26" t="s">
        <v>212</v>
      </c>
      <c r="M10" s="11" t="s">
        <v>424</v>
      </c>
      <c r="N10" t="s">
        <v>236</v>
      </c>
    </row>
    <row r="11" spans="1:17" x14ac:dyDescent="0.25">
      <c r="A11" s="16">
        <v>129</v>
      </c>
      <c r="B11" s="16" t="s">
        <v>144</v>
      </c>
      <c r="C11" s="16" t="s">
        <v>145</v>
      </c>
      <c r="D11" s="16" t="s">
        <v>425</v>
      </c>
      <c r="E11" s="16" t="s">
        <v>426</v>
      </c>
      <c r="F11" s="16" t="s">
        <v>427</v>
      </c>
      <c r="G11" s="16" t="s">
        <v>60</v>
      </c>
      <c r="H11" s="17" t="s">
        <v>428</v>
      </c>
      <c r="I11" s="17">
        <v>0</v>
      </c>
      <c r="J11" s="17">
        <v>750000000</v>
      </c>
      <c r="K11" s="17">
        <v>4687694044</v>
      </c>
      <c r="L11" s="11" t="s">
        <v>212</v>
      </c>
      <c r="M11" s="11" t="s">
        <v>429</v>
      </c>
      <c r="N11" t="s">
        <v>236</v>
      </c>
    </row>
    <row r="12" spans="1:17" x14ac:dyDescent="0.25">
      <c r="A12" s="16">
        <v>168</v>
      </c>
      <c r="B12" s="16" t="s">
        <v>144</v>
      </c>
      <c r="C12" s="16" t="s">
        <v>145</v>
      </c>
      <c r="D12" s="16" t="s">
        <v>180</v>
      </c>
      <c r="E12" s="16" t="s">
        <v>430</v>
      </c>
      <c r="F12" s="16" t="s">
        <v>431</v>
      </c>
      <c r="G12" s="16" t="s">
        <v>60</v>
      </c>
      <c r="H12" s="17" t="s">
        <v>432</v>
      </c>
      <c r="I12" s="17">
        <v>0</v>
      </c>
      <c r="J12" s="17">
        <v>750000000</v>
      </c>
      <c r="K12" s="17">
        <v>4893041644</v>
      </c>
      <c r="L12" s="11" t="s">
        <v>212</v>
      </c>
      <c r="M12" s="11" t="s">
        <v>433</v>
      </c>
      <c r="N12" t="s">
        <v>236</v>
      </c>
    </row>
    <row r="13" spans="1:17" x14ac:dyDescent="0.25">
      <c r="A13" s="16">
        <v>188</v>
      </c>
      <c r="B13" s="17" t="s">
        <v>144</v>
      </c>
      <c r="C13" s="17" t="s">
        <v>145</v>
      </c>
      <c r="D13" s="17" t="s">
        <v>434</v>
      </c>
      <c r="E13" s="17" t="s">
        <v>435</v>
      </c>
      <c r="F13" s="16" t="s">
        <v>436</v>
      </c>
      <c r="G13" s="17" t="s">
        <v>60</v>
      </c>
      <c r="H13" s="17" t="s">
        <v>437</v>
      </c>
      <c r="I13" s="17">
        <v>0</v>
      </c>
      <c r="J13" s="17">
        <v>750000000</v>
      </c>
      <c r="K13" s="17">
        <v>1709039882</v>
      </c>
      <c r="L13" s="17" t="s">
        <v>212</v>
      </c>
      <c r="M13" s="11" t="s">
        <v>438</v>
      </c>
      <c r="N13" t="s">
        <v>236</v>
      </c>
    </row>
    <row r="14" spans="1:17" x14ac:dyDescent="0.25">
      <c r="A14" s="16">
        <v>220</v>
      </c>
      <c r="B14" s="17" t="s">
        <v>144</v>
      </c>
      <c r="C14" s="17" t="s">
        <v>145</v>
      </c>
      <c r="D14" s="17" t="s">
        <v>439</v>
      </c>
      <c r="E14" s="17" t="s">
        <v>440</v>
      </c>
      <c r="F14" s="16" t="s">
        <v>441</v>
      </c>
      <c r="G14" s="17"/>
      <c r="H14" s="17" t="s">
        <v>442</v>
      </c>
      <c r="I14" s="17">
        <v>0</v>
      </c>
      <c r="J14" s="17">
        <v>750000000</v>
      </c>
      <c r="K14" s="17">
        <v>9304429882</v>
      </c>
      <c r="L14" s="16" t="s">
        <v>212</v>
      </c>
      <c r="M14" s="11" t="s">
        <v>443</v>
      </c>
      <c r="N14" t="s">
        <v>236</v>
      </c>
    </row>
  </sheetData>
  <hyperlinks>
    <hyperlink ref="B1" r:id="rId1" location="'لیست اعضا'!A1" xr:uid="{5F4D04DF-9803-4359-B562-EC16AEAE7E8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BD913-2C3C-47E7-B903-F64E18EC941C}">
  <dimension ref="A1:L21"/>
  <sheetViews>
    <sheetView rightToLeft="1" workbookViewId="0">
      <selection activeCell="I24" sqref="I24"/>
    </sheetView>
  </sheetViews>
  <sheetFormatPr defaultRowHeight="15" x14ac:dyDescent="0.25"/>
  <cols>
    <col min="2" max="2" width="18.85546875" bestFit="1" customWidth="1"/>
    <col min="3" max="3" width="61.85546875" customWidth="1"/>
    <col min="4" max="4" width="10.140625" bestFit="1" customWidth="1"/>
    <col min="6" max="6" width="20.140625" customWidth="1"/>
    <col min="7" max="7" width="28.42578125" bestFit="1" customWidth="1"/>
    <col min="8" max="10" width="22.42578125" bestFit="1" customWidth="1"/>
    <col min="11" max="11" width="19" customWidth="1"/>
    <col min="12" max="12" width="12.5703125" customWidth="1"/>
  </cols>
  <sheetData>
    <row r="1" spans="1:12" x14ac:dyDescent="0.25">
      <c r="B1" s="41" t="s">
        <v>14</v>
      </c>
    </row>
    <row r="2" spans="1:12" x14ac:dyDescent="0.25">
      <c r="A2" s="11" t="s">
        <v>0</v>
      </c>
      <c r="B2" s="11" t="s">
        <v>40</v>
      </c>
      <c r="C2" s="11" t="s">
        <v>41</v>
      </c>
      <c r="D2" s="11" t="s">
        <v>42</v>
      </c>
      <c r="E2" s="11" t="s">
        <v>43</v>
      </c>
      <c r="F2" s="11" t="s">
        <v>44</v>
      </c>
      <c r="G2" s="11" t="s">
        <v>45</v>
      </c>
      <c r="H2" s="11" t="s">
        <v>46</v>
      </c>
      <c r="I2" s="11" t="s">
        <v>49</v>
      </c>
    </row>
    <row r="3" spans="1:12" x14ac:dyDescent="0.25">
      <c r="A3" s="11">
        <v>1</v>
      </c>
      <c r="B3" s="11" t="s">
        <v>242</v>
      </c>
      <c r="C3" s="11" t="s">
        <v>243</v>
      </c>
      <c r="D3" s="12">
        <v>10247713</v>
      </c>
      <c r="E3" s="11"/>
      <c r="F3" s="11"/>
      <c r="G3" s="11" t="s">
        <v>51</v>
      </c>
      <c r="H3" s="69">
        <v>1000000000</v>
      </c>
      <c r="I3" s="11" t="s">
        <v>244</v>
      </c>
      <c r="J3" t="s">
        <v>59</v>
      </c>
    </row>
    <row r="4" spans="1:12" x14ac:dyDescent="0.25">
      <c r="A4" s="11">
        <v>2</v>
      </c>
      <c r="B4" s="11" t="s">
        <v>245</v>
      </c>
      <c r="C4" s="11" t="s">
        <v>246</v>
      </c>
      <c r="D4" s="12">
        <v>10283180</v>
      </c>
      <c r="E4" s="11"/>
      <c r="F4" s="11"/>
      <c r="G4" s="11" t="s">
        <v>51</v>
      </c>
      <c r="H4" s="69">
        <v>1000000000</v>
      </c>
      <c r="I4" s="11" t="s">
        <v>244</v>
      </c>
      <c r="J4" t="s">
        <v>59</v>
      </c>
    </row>
    <row r="5" spans="1:12" x14ac:dyDescent="0.25">
      <c r="A5" s="11">
        <v>3</v>
      </c>
      <c r="B5" s="11" t="s">
        <v>54</v>
      </c>
      <c r="C5" s="11" t="s">
        <v>247</v>
      </c>
      <c r="D5" s="12">
        <v>10333256</v>
      </c>
      <c r="E5" s="11"/>
      <c r="F5" s="11"/>
      <c r="G5" s="11" t="s">
        <v>51</v>
      </c>
      <c r="H5" s="69">
        <v>1000000000</v>
      </c>
      <c r="I5" s="11" t="s">
        <v>14</v>
      </c>
      <c r="J5" t="s">
        <v>59</v>
      </c>
    </row>
    <row r="6" spans="1:12" x14ac:dyDescent="0.25">
      <c r="A6" s="11">
        <v>4</v>
      </c>
      <c r="B6" s="11" t="s">
        <v>248</v>
      </c>
      <c r="C6" s="11" t="s">
        <v>249</v>
      </c>
      <c r="D6" s="12">
        <v>10450833</v>
      </c>
      <c r="E6" s="11"/>
      <c r="F6" s="11"/>
      <c r="G6" s="11" t="s">
        <v>51</v>
      </c>
      <c r="H6" s="69">
        <v>500000000</v>
      </c>
      <c r="I6" s="11" t="s">
        <v>14</v>
      </c>
      <c r="J6" t="s">
        <v>59</v>
      </c>
    </row>
    <row r="7" spans="1:12" x14ac:dyDescent="0.25">
      <c r="A7" s="11">
        <v>5</v>
      </c>
      <c r="B7" s="11" t="s">
        <v>56</v>
      </c>
      <c r="C7" s="11" t="s">
        <v>250</v>
      </c>
      <c r="D7" s="12">
        <v>10558124</v>
      </c>
      <c r="E7" s="11"/>
      <c r="F7" s="11"/>
      <c r="G7" s="11" t="s">
        <v>51</v>
      </c>
      <c r="H7" s="69">
        <v>1000000000</v>
      </c>
      <c r="I7" s="11" t="s">
        <v>244</v>
      </c>
      <c r="J7" t="s">
        <v>59</v>
      </c>
    </row>
    <row r="8" spans="1:12" x14ac:dyDescent="0.25">
      <c r="A8" s="11">
        <v>6</v>
      </c>
      <c r="B8" s="11" t="s">
        <v>251</v>
      </c>
      <c r="C8" s="11" t="s">
        <v>252</v>
      </c>
      <c r="D8" s="12">
        <v>10644148</v>
      </c>
      <c r="E8" s="11"/>
      <c r="F8" s="11"/>
      <c r="G8" s="11" t="s">
        <v>51</v>
      </c>
      <c r="H8" s="69">
        <v>1000000000</v>
      </c>
      <c r="I8" s="11" t="s">
        <v>14</v>
      </c>
      <c r="J8" t="s">
        <v>59</v>
      </c>
    </row>
    <row r="9" spans="1:12" x14ac:dyDescent="0.25">
      <c r="A9" s="11">
        <v>7</v>
      </c>
      <c r="B9" s="73" t="s">
        <v>369</v>
      </c>
      <c r="C9" s="73" t="s">
        <v>446</v>
      </c>
      <c r="D9" s="73" t="s">
        <v>445</v>
      </c>
      <c r="E9" s="73" t="s">
        <v>444</v>
      </c>
      <c r="G9" s="73" t="s">
        <v>60</v>
      </c>
      <c r="H9" s="74">
        <v>1000000000</v>
      </c>
      <c r="I9" s="75" t="s">
        <v>447</v>
      </c>
      <c r="J9" s="72" t="s">
        <v>167</v>
      </c>
      <c r="L9" s="74"/>
    </row>
    <row r="10" spans="1:12" x14ac:dyDescent="0.25">
      <c r="A10" s="11">
        <v>8</v>
      </c>
      <c r="B10" s="76" t="s">
        <v>253</v>
      </c>
      <c r="C10" s="76" t="s">
        <v>450</v>
      </c>
      <c r="D10" s="76" t="s">
        <v>449</v>
      </c>
      <c r="E10" s="76" t="s">
        <v>448</v>
      </c>
      <c r="G10" s="76" t="s">
        <v>60</v>
      </c>
      <c r="H10" s="77">
        <v>1000000000</v>
      </c>
      <c r="I10" s="75" t="s">
        <v>447</v>
      </c>
      <c r="J10" s="72" t="s">
        <v>167</v>
      </c>
      <c r="L10" s="77"/>
    </row>
    <row r="11" spans="1:12" x14ac:dyDescent="0.25">
      <c r="A11" s="11">
        <v>9</v>
      </c>
      <c r="B11" s="76" t="s">
        <v>451</v>
      </c>
      <c r="C11" s="76" t="s">
        <v>454</v>
      </c>
      <c r="D11" s="76" t="s">
        <v>453</v>
      </c>
      <c r="E11" s="76" t="s">
        <v>452</v>
      </c>
      <c r="G11" s="76" t="s">
        <v>60</v>
      </c>
      <c r="H11" s="77">
        <v>500000000</v>
      </c>
      <c r="I11" s="75" t="s">
        <v>447</v>
      </c>
      <c r="J11" s="72" t="s">
        <v>167</v>
      </c>
      <c r="L11" s="77"/>
    </row>
    <row r="15" spans="1:12" x14ac:dyDescent="0.25">
      <c r="A15" s="15" t="s">
        <v>60</v>
      </c>
      <c r="B15" s="15" t="s">
        <v>40</v>
      </c>
      <c r="C15" s="15" t="s">
        <v>62</v>
      </c>
      <c r="D15" s="15" t="s">
        <v>63</v>
      </c>
      <c r="E15" s="15" t="s">
        <v>64</v>
      </c>
      <c r="F15" s="15" t="s">
        <v>107</v>
      </c>
      <c r="G15" s="15" t="s">
        <v>65</v>
      </c>
      <c r="H15" s="15" t="s">
        <v>67</v>
      </c>
      <c r="I15" s="15" t="s">
        <v>68</v>
      </c>
      <c r="J15" s="15" t="s">
        <v>69</v>
      </c>
      <c r="K15" s="15" t="s">
        <v>58</v>
      </c>
    </row>
    <row r="16" spans="1:12" x14ac:dyDescent="0.25">
      <c r="A16" s="73">
        <v>63</v>
      </c>
      <c r="B16" s="78" t="s">
        <v>455</v>
      </c>
      <c r="C16" s="78" t="s">
        <v>456</v>
      </c>
      <c r="D16" s="78" t="s">
        <v>457</v>
      </c>
      <c r="E16" s="78" t="s">
        <v>60</v>
      </c>
      <c r="F16" s="73" t="s">
        <v>111</v>
      </c>
      <c r="G16" s="79" t="s">
        <v>458</v>
      </c>
      <c r="H16" s="80">
        <v>750000000</v>
      </c>
      <c r="I16" s="82" t="s">
        <v>447</v>
      </c>
      <c r="J16" s="11" t="s">
        <v>413</v>
      </c>
      <c r="K16" s="36" t="s">
        <v>167</v>
      </c>
    </row>
    <row r="17" spans="1:11" x14ac:dyDescent="0.25">
      <c r="A17" s="73">
        <v>88</v>
      </c>
      <c r="B17" s="78" t="s">
        <v>131</v>
      </c>
      <c r="C17" s="78" t="s">
        <v>459</v>
      </c>
      <c r="D17" s="78" t="s">
        <v>460</v>
      </c>
      <c r="E17" s="78" t="s">
        <v>60</v>
      </c>
      <c r="F17" s="73" t="s">
        <v>60</v>
      </c>
      <c r="G17" s="79" t="s">
        <v>461</v>
      </c>
      <c r="H17" s="80">
        <v>750000000</v>
      </c>
      <c r="I17" s="82" t="s">
        <v>447</v>
      </c>
      <c r="J17" s="11" t="s">
        <v>162</v>
      </c>
      <c r="K17" s="36" t="s">
        <v>167</v>
      </c>
    </row>
    <row r="18" spans="1:11" x14ac:dyDescent="0.25">
      <c r="A18" s="73">
        <v>109</v>
      </c>
      <c r="B18" s="78" t="s">
        <v>146</v>
      </c>
      <c r="C18" s="78" t="s">
        <v>462</v>
      </c>
      <c r="D18" s="78" t="s">
        <v>463</v>
      </c>
      <c r="E18" s="78" t="s">
        <v>60</v>
      </c>
      <c r="F18" s="73" t="s">
        <v>60</v>
      </c>
      <c r="G18" s="79" t="s">
        <v>464</v>
      </c>
      <c r="H18" s="80">
        <v>750000000</v>
      </c>
      <c r="I18" s="82" t="s">
        <v>447</v>
      </c>
      <c r="J18" s="11" t="s">
        <v>412</v>
      </c>
      <c r="K18" s="36" t="s">
        <v>167</v>
      </c>
    </row>
    <row r="19" spans="1:11" x14ac:dyDescent="0.25">
      <c r="A19" s="73">
        <v>131</v>
      </c>
      <c r="B19" s="78" t="s">
        <v>151</v>
      </c>
      <c r="C19" s="78" t="s">
        <v>465</v>
      </c>
      <c r="D19" s="78" t="s">
        <v>466</v>
      </c>
      <c r="E19" s="78" t="s">
        <v>60</v>
      </c>
      <c r="F19" s="73" t="s">
        <v>60</v>
      </c>
      <c r="G19" s="79" t="s">
        <v>467</v>
      </c>
      <c r="H19" s="80">
        <v>750000000</v>
      </c>
      <c r="I19" s="82" t="s">
        <v>447</v>
      </c>
      <c r="J19" s="11" t="s">
        <v>337</v>
      </c>
      <c r="K19" s="36" t="s">
        <v>167</v>
      </c>
    </row>
    <row r="20" spans="1:11" x14ac:dyDescent="0.25">
      <c r="A20" s="18">
        <v>170</v>
      </c>
      <c r="B20" s="23" t="s">
        <v>439</v>
      </c>
      <c r="C20" s="23" t="s">
        <v>468</v>
      </c>
      <c r="D20" s="23" t="s">
        <v>469</v>
      </c>
      <c r="E20" s="23" t="s">
        <v>60</v>
      </c>
      <c r="F20" s="18" t="s">
        <v>60</v>
      </c>
      <c r="G20" s="24" t="s">
        <v>470</v>
      </c>
      <c r="H20" s="25">
        <v>750000000</v>
      </c>
      <c r="I20" s="81" t="s">
        <v>447</v>
      </c>
      <c r="J20" s="11" t="s">
        <v>303</v>
      </c>
      <c r="K20" s="36" t="s">
        <v>167</v>
      </c>
    </row>
    <row r="21" spans="1:11" x14ac:dyDescent="0.25">
      <c r="A21" s="18">
        <v>194</v>
      </c>
      <c r="B21" s="23" t="s">
        <v>471</v>
      </c>
      <c r="C21" s="23" t="s">
        <v>472</v>
      </c>
      <c r="D21" s="23" t="s">
        <v>473</v>
      </c>
      <c r="E21" s="23" t="s">
        <v>60</v>
      </c>
      <c r="F21" s="18" t="s">
        <v>60</v>
      </c>
      <c r="G21" s="24" t="s">
        <v>474</v>
      </c>
      <c r="H21" s="25">
        <v>750000000</v>
      </c>
      <c r="I21" s="81" t="s">
        <v>447</v>
      </c>
      <c r="J21" s="11" t="s">
        <v>377</v>
      </c>
      <c r="K21" s="36" t="s">
        <v>167</v>
      </c>
    </row>
  </sheetData>
  <phoneticPr fontId="25" type="noConversion"/>
  <hyperlinks>
    <hyperlink ref="B1" r:id="rId1" location="'لیست اعضا'!A1" xr:uid="{23AC6490-A11B-46BA-84A4-2F81A5C9DBBA}"/>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E8286-D0A5-4682-BD93-71C5C7AA3732}">
  <dimension ref="A1:N17"/>
  <sheetViews>
    <sheetView rightToLeft="1" workbookViewId="0">
      <selection activeCell="A11" sqref="A11:K17"/>
    </sheetView>
  </sheetViews>
  <sheetFormatPr defaultRowHeight="15" x14ac:dyDescent="0.25"/>
  <cols>
    <col min="1" max="1" width="5.85546875" customWidth="1"/>
    <col min="2" max="2" width="40.28515625" customWidth="1"/>
    <col min="3" max="3" width="14" customWidth="1"/>
    <col min="4" max="4" width="24" customWidth="1"/>
    <col min="5" max="6" width="22.42578125" customWidth="1"/>
    <col min="7" max="8" width="23.28515625" customWidth="1"/>
    <col min="9" max="9" width="21.28515625" customWidth="1"/>
    <col min="10" max="10" width="18.28515625" customWidth="1"/>
    <col min="11" max="12" width="27" customWidth="1"/>
    <col min="13" max="13" width="22.7109375" customWidth="1"/>
    <col min="14" max="14" width="24.140625" customWidth="1"/>
  </cols>
  <sheetData>
    <row r="1" spans="1:14" ht="15.75" thickBot="1" x14ac:dyDescent="0.3">
      <c r="B1" s="20" t="s">
        <v>16</v>
      </c>
    </row>
    <row r="2" spans="1:14" ht="18" x14ac:dyDescent="0.25">
      <c r="A2" s="1" t="s">
        <v>0</v>
      </c>
      <c r="B2" s="2" t="s">
        <v>1</v>
      </c>
      <c r="C2" s="2" t="s">
        <v>2</v>
      </c>
      <c r="D2" s="43" t="s">
        <v>219</v>
      </c>
      <c r="E2" s="2" t="s">
        <v>221</v>
      </c>
      <c r="F2" s="2" t="s">
        <v>220</v>
      </c>
      <c r="G2" s="2" t="s">
        <v>222</v>
      </c>
      <c r="H2" s="2" t="s">
        <v>220</v>
      </c>
      <c r="I2" s="45" t="s">
        <v>225</v>
      </c>
      <c r="J2" s="2" t="s">
        <v>220</v>
      </c>
      <c r="K2" s="45" t="s">
        <v>397</v>
      </c>
      <c r="L2" s="45" t="s">
        <v>398</v>
      </c>
      <c r="M2" s="2" t="s">
        <v>399</v>
      </c>
      <c r="N2" s="45" t="s">
        <v>229</v>
      </c>
    </row>
    <row r="3" spans="1:14" ht="21.75" x14ac:dyDescent="0.25">
      <c r="A3" s="3">
        <v>13</v>
      </c>
      <c r="B3" s="5" t="s">
        <v>16</v>
      </c>
      <c r="C3" s="6">
        <v>1</v>
      </c>
      <c r="D3" s="6">
        <v>8000000000</v>
      </c>
      <c r="E3" s="47">
        <v>3000000000</v>
      </c>
      <c r="F3" s="47" t="s">
        <v>475</v>
      </c>
      <c r="G3" s="47">
        <v>2500000000</v>
      </c>
      <c r="H3" s="47" t="s">
        <v>400</v>
      </c>
      <c r="I3" s="47">
        <v>2500000000</v>
      </c>
      <c r="J3" s="47" t="s">
        <v>230</v>
      </c>
      <c r="K3" s="48"/>
      <c r="L3" s="48"/>
      <c r="M3" s="48">
        <f t="shared" ref="M3" si="0">E3+G3+I3+K3</f>
        <v>8000000000</v>
      </c>
      <c r="N3" s="47">
        <f t="shared" ref="N3" si="1">D3-M3</f>
        <v>0</v>
      </c>
    </row>
    <row r="11" spans="1:14" ht="15.75" x14ac:dyDescent="0.25">
      <c r="A11" s="83" t="s">
        <v>0</v>
      </c>
      <c r="B11" s="71" t="s">
        <v>40</v>
      </c>
      <c r="C11" s="71" t="s">
        <v>62</v>
      </c>
      <c r="D11" s="71" t="s">
        <v>63</v>
      </c>
      <c r="E11" s="71" t="s">
        <v>64</v>
      </c>
      <c r="F11" s="71" t="s">
        <v>107</v>
      </c>
      <c r="G11" s="71" t="s">
        <v>65</v>
      </c>
      <c r="H11" s="71" t="s">
        <v>67</v>
      </c>
      <c r="I11" s="71" t="s">
        <v>395</v>
      </c>
      <c r="J11" s="71" t="s">
        <v>476</v>
      </c>
      <c r="K11" s="71" t="s">
        <v>58</v>
      </c>
    </row>
    <row r="12" spans="1:14" x14ac:dyDescent="0.25">
      <c r="A12" s="57" t="s">
        <v>71</v>
      </c>
      <c r="B12" s="57" t="s">
        <v>492</v>
      </c>
      <c r="C12" s="57"/>
      <c r="D12" s="57"/>
      <c r="E12" s="57"/>
      <c r="F12" s="57" t="s">
        <v>489</v>
      </c>
      <c r="G12" s="57"/>
      <c r="H12" s="62">
        <v>1500000000</v>
      </c>
      <c r="I12" s="57" t="s">
        <v>496</v>
      </c>
      <c r="J12" s="66" t="s">
        <v>413</v>
      </c>
      <c r="K12" s="57" t="s">
        <v>415</v>
      </c>
    </row>
    <row r="13" spans="1:14" x14ac:dyDescent="0.25">
      <c r="A13" s="57" t="s">
        <v>497</v>
      </c>
      <c r="B13" s="57" t="s">
        <v>493</v>
      </c>
      <c r="C13" s="57"/>
      <c r="D13" s="57"/>
      <c r="E13" s="57"/>
      <c r="F13" s="57" t="s">
        <v>490</v>
      </c>
      <c r="G13" s="57"/>
      <c r="H13" s="62">
        <v>1500000000</v>
      </c>
      <c r="I13" s="57" t="s">
        <v>496</v>
      </c>
      <c r="J13" s="66" t="s">
        <v>162</v>
      </c>
      <c r="K13" s="57" t="s">
        <v>59</v>
      </c>
    </row>
    <row r="14" spans="1:14" x14ac:dyDescent="0.25">
      <c r="A14" s="57" t="s">
        <v>498</v>
      </c>
      <c r="B14" s="57" t="s">
        <v>494</v>
      </c>
      <c r="C14" s="57"/>
      <c r="D14" s="57"/>
      <c r="E14" s="57"/>
      <c r="F14" s="57" t="s">
        <v>491</v>
      </c>
      <c r="G14" s="57"/>
      <c r="H14" s="62">
        <v>1500000000</v>
      </c>
      <c r="I14" s="57" t="s">
        <v>496</v>
      </c>
      <c r="J14" s="66" t="s">
        <v>412</v>
      </c>
      <c r="K14" s="57" t="s">
        <v>415</v>
      </c>
    </row>
    <row r="15" spans="1:14" x14ac:dyDescent="0.25">
      <c r="A15" s="57" t="s">
        <v>291</v>
      </c>
      <c r="B15" s="57" t="s">
        <v>434</v>
      </c>
      <c r="C15" s="57" t="s">
        <v>482</v>
      </c>
      <c r="D15" s="57" t="s">
        <v>483</v>
      </c>
      <c r="E15" s="57" t="s">
        <v>484</v>
      </c>
      <c r="F15" s="57" t="s">
        <v>485</v>
      </c>
      <c r="G15" s="57" t="s">
        <v>486</v>
      </c>
      <c r="H15" s="62">
        <v>1500000000</v>
      </c>
      <c r="I15" s="57" t="s">
        <v>496</v>
      </c>
      <c r="J15" s="66" t="s">
        <v>337</v>
      </c>
      <c r="K15" s="11" t="s">
        <v>487</v>
      </c>
    </row>
    <row r="16" spans="1:14" x14ac:dyDescent="0.25">
      <c r="A16" s="57" t="s">
        <v>500</v>
      </c>
      <c r="B16" s="57" t="s">
        <v>353</v>
      </c>
      <c r="C16" s="57" t="s">
        <v>477</v>
      </c>
      <c r="D16" s="57" t="s">
        <v>478</v>
      </c>
      <c r="E16" s="57" t="s">
        <v>479</v>
      </c>
      <c r="F16" s="57" t="s">
        <v>480</v>
      </c>
      <c r="G16" s="57" t="s">
        <v>481</v>
      </c>
      <c r="H16" s="62">
        <v>1500000000</v>
      </c>
      <c r="I16" s="57" t="s">
        <v>496</v>
      </c>
      <c r="J16" s="66" t="s">
        <v>303</v>
      </c>
      <c r="K16" s="11" t="s">
        <v>378</v>
      </c>
    </row>
    <row r="17" spans="1:11" x14ac:dyDescent="0.25">
      <c r="A17" s="57" t="s">
        <v>499</v>
      </c>
      <c r="B17" s="57" t="s">
        <v>495</v>
      </c>
      <c r="C17" s="57"/>
      <c r="D17" s="57"/>
      <c r="E17" s="57"/>
      <c r="F17" s="57" t="s">
        <v>488</v>
      </c>
      <c r="G17" s="57"/>
      <c r="H17" s="62">
        <v>1500000000</v>
      </c>
      <c r="I17" s="57" t="s">
        <v>496</v>
      </c>
      <c r="J17" s="66" t="s">
        <v>377</v>
      </c>
      <c r="K17" s="11" t="s">
        <v>487</v>
      </c>
    </row>
  </sheetData>
  <phoneticPr fontId="25" type="noConversion"/>
  <hyperlinks>
    <hyperlink ref="B1" r:id="rId1" location="'لیست اعضا'!A1" xr:uid="{F56AAE76-2A17-4BD3-969F-AD21B772AF64}"/>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ECC3D-E403-4643-9BE7-39C0C36000CB}">
  <dimension ref="A1:N14"/>
  <sheetViews>
    <sheetView rightToLeft="1" tabSelected="1" workbookViewId="0">
      <selection activeCell="B21" sqref="B21"/>
    </sheetView>
  </sheetViews>
  <sheetFormatPr defaultRowHeight="15" x14ac:dyDescent="0.25"/>
  <cols>
    <col min="1" max="1" width="5.85546875" customWidth="1"/>
    <col min="2" max="2" width="40.28515625" customWidth="1"/>
    <col min="3" max="3" width="14" customWidth="1"/>
    <col min="4" max="4" width="24" customWidth="1"/>
    <col min="5" max="6" width="22.42578125" customWidth="1"/>
    <col min="7" max="8" width="23.28515625" customWidth="1"/>
    <col min="9" max="9" width="21.28515625" customWidth="1"/>
    <col min="10" max="10" width="18.28515625" customWidth="1"/>
    <col min="11" max="12" width="27" customWidth="1"/>
    <col min="13" max="13" width="22.7109375" customWidth="1"/>
    <col min="14" max="14" width="24.140625" customWidth="1"/>
  </cols>
  <sheetData>
    <row r="1" spans="1:14" ht="15.75" thickBot="1" x14ac:dyDescent="0.3">
      <c r="B1" s="20" t="s">
        <v>216</v>
      </c>
    </row>
    <row r="2" spans="1:14" ht="18" x14ac:dyDescent="0.25">
      <c r="A2" s="1" t="s">
        <v>0</v>
      </c>
      <c r="B2" s="2" t="s">
        <v>1</v>
      </c>
      <c r="C2" s="2" t="s">
        <v>2</v>
      </c>
      <c r="D2" s="43" t="s">
        <v>219</v>
      </c>
      <c r="E2" s="2" t="s">
        <v>221</v>
      </c>
      <c r="F2" s="2" t="s">
        <v>220</v>
      </c>
      <c r="G2" s="2" t="s">
        <v>222</v>
      </c>
      <c r="H2" s="2" t="s">
        <v>220</v>
      </c>
      <c r="I2" s="45" t="s">
        <v>225</v>
      </c>
      <c r="J2" s="2" t="s">
        <v>220</v>
      </c>
      <c r="K2" s="45" t="s">
        <v>397</v>
      </c>
      <c r="L2" s="45" t="s">
        <v>398</v>
      </c>
      <c r="M2" s="2" t="s">
        <v>399</v>
      </c>
      <c r="N2" s="45" t="s">
        <v>229</v>
      </c>
    </row>
    <row r="3" spans="1:14" ht="21.75" x14ac:dyDescent="0.25">
      <c r="A3" s="3">
        <v>30</v>
      </c>
      <c r="B3" s="5" t="s">
        <v>39</v>
      </c>
      <c r="C3" s="6">
        <v>1</v>
      </c>
      <c r="D3" s="6">
        <v>8000000000</v>
      </c>
      <c r="E3" s="47">
        <v>3000000000</v>
      </c>
      <c r="F3" s="47" t="s">
        <v>475</v>
      </c>
      <c r="G3" s="47">
        <v>2500000000</v>
      </c>
      <c r="H3" s="47" t="s">
        <v>400</v>
      </c>
      <c r="I3" s="47">
        <v>2500000000</v>
      </c>
      <c r="J3" s="47" t="s">
        <v>475</v>
      </c>
      <c r="K3" s="48"/>
      <c r="L3" s="48"/>
      <c r="M3" s="48">
        <f t="shared" ref="M3" si="0">E3+G3+I3+K3</f>
        <v>8000000000</v>
      </c>
      <c r="N3" s="47">
        <f t="shared" ref="N3" si="1">D3-M3</f>
        <v>0</v>
      </c>
    </row>
    <row r="8" spans="1:14" ht="15.75" x14ac:dyDescent="0.25">
      <c r="A8" s="83" t="s">
        <v>0</v>
      </c>
      <c r="B8" s="71" t="s">
        <v>40</v>
      </c>
      <c r="C8" s="71" t="s">
        <v>62</v>
      </c>
      <c r="D8" s="71" t="s">
        <v>63</v>
      </c>
      <c r="E8" s="71" t="s">
        <v>64</v>
      </c>
      <c r="F8" s="71" t="s">
        <v>107</v>
      </c>
      <c r="G8" s="71" t="s">
        <v>65</v>
      </c>
      <c r="H8" s="71" t="s">
        <v>67</v>
      </c>
      <c r="I8" s="71" t="s">
        <v>395</v>
      </c>
      <c r="J8" s="71" t="s">
        <v>476</v>
      </c>
      <c r="K8" s="71" t="s">
        <v>58</v>
      </c>
    </row>
    <row r="9" spans="1:14" x14ac:dyDescent="0.25">
      <c r="A9" s="57" t="s">
        <v>71</v>
      </c>
      <c r="B9" s="57" t="s">
        <v>492</v>
      </c>
      <c r="C9" s="57"/>
      <c r="D9" s="57"/>
      <c r="E9" s="57"/>
      <c r="F9" s="57" t="s">
        <v>489</v>
      </c>
      <c r="G9" s="57"/>
      <c r="H9" s="62">
        <v>1500000000</v>
      </c>
      <c r="I9" s="57" t="s">
        <v>496</v>
      </c>
      <c r="J9" s="66" t="s">
        <v>413</v>
      </c>
      <c r="K9" s="57" t="s">
        <v>415</v>
      </c>
    </row>
    <row r="10" spans="1:14" x14ac:dyDescent="0.25">
      <c r="A10" s="57" t="s">
        <v>497</v>
      </c>
      <c r="B10" s="57" t="s">
        <v>493</v>
      </c>
      <c r="C10" s="57"/>
      <c r="D10" s="57"/>
      <c r="E10" s="57"/>
      <c r="F10" s="57" t="s">
        <v>490</v>
      </c>
      <c r="G10" s="57"/>
      <c r="H10" s="62">
        <v>1500000000</v>
      </c>
      <c r="I10" s="57" t="s">
        <v>496</v>
      </c>
      <c r="J10" s="66" t="s">
        <v>162</v>
      </c>
      <c r="K10" s="57" t="s">
        <v>59</v>
      </c>
    </row>
    <row r="11" spans="1:14" x14ac:dyDescent="0.25">
      <c r="A11" s="57" t="s">
        <v>498</v>
      </c>
      <c r="B11" s="57" t="s">
        <v>494</v>
      </c>
      <c r="C11" s="57"/>
      <c r="D11" s="57"/>
      <c r="E11" s="57"/>
      <c r="F11" s="57" t="s">
        <v>491</v>
      </c>
      <c r="G11" s="57"/>
      <c r="H11" s="62">
        <v>1500000000</v>
      </c>
      <c r="I11" s="57" t="s">
        <v>496</v>
      </c>
      <c r="J11" s="66" t="s">
        <v>412</v>
      </c>
      <c r="K11" s="57" t="s">
        <v>415</v>
      </c>
    </row>
    <row r="12" spans="1:14" x14ac:dyDescent="0.25">
      <c r="A12" s="57" t="s">
        <v>291</v>
      </c>
      <c r="B12" s="57" t="s">
        <v>434</v>
      </c>
      <c r="C12" s="57" t="s">
        <v>482</v>
      </c>
      <c r="D12" s="57" t="s">
        <v>483</v>
      </c>
      <c r="E12" s="57" t="s">
        <v>484</v>
      </c>
      <c r="F12" s="57" t="s">
        <v>485</v>
      </c>
      <c r="G12" s="57" t="s">
        <v>486</v>
      </c>
      <c r="H12" s="62">
        <v>1500000000</v>
      </c>
      <c r="I12" s="57" t="s">
        <v>496</v>
      </c>
      <c r="J12" s="66" t="s">
        <v>337</v>
      </c>
      <c r="K12" s="11" t="s">
        <v>487</v>
      </c>
    </row>
    <row r="13" spans="1:14" x14ac:dyDescent="0.25">
      <c r="A13" s="57" t="s">
        <v>500</v>
      </c>
      <c r="B13" s="57" t="s">
        <v>353</v>
      </c>
      <c r="C13" s="57" t="s">
        <v>477</v>
      </c>
      <c r="D13" s="57" t="s">
        <v>478</v>
      </c>
      <c r="E13" s="57" t="s">
        <v>479</v>
      </c>
      <c r="F13" s="57" t="s">
        <v>480</v>
      </c>
      <c r="G13" s="57" t="s">
        <v>481</v>
      </c>
      <c r="H13" s="62">
        <v>1500000000</v>
      </c>
      <c r="I13" s="57" t="s">
        <v>496</v>
      </c>
      <c r="J13" s="66" t="s">
        <v>303</v>
      </c>
      <c r="K13" s="11" t="s">
        <v>378</v>
      </c>
    </row>
    <row r="14" spans="1:14" x14ac:dyDescent="0.25">
      <c r="A14" s="57" t="s">
        <v>499</v>
      </c>
      <c r="B14" s="57" t="s">
        <v>495</v>
      </c>
      <c r="C14" s="57"/>
      <c r="D14" s="57"/>
      <c r="E14" s="57"/>
      <c r="F14" s="57" t="s">
        <v>488</v>
      </c>
      <c r="G14" s="57"/>
      <c r="H14" s="62">
        <v>1500000000</v>
      </c>
      <c r="I14" s="57" t="s">
        <v>496</v>
      </c>
      <c r="J14" s="66" t="s">
        <v>377</v>
      </c>
      <c r="K14" s="11" t="s">
        <v>487</v>
      </c>
    </row>
  </sheetData>
  <hyperlinks>
    <hyperlink ref="B1" r:id="rId1" location="'لیست اعضا'!A1" xr:uid="{F1F88355-625F-4631-84DA-05DA20BF7DE7}"/>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AF7DE-EA69-4253-BE06-336A1ED09325}">
  <dimension ref="B1"/>
  <sheetViews>
    <sheetView rightToLeft="1" workbookViewId="0"/>
  </sheetViews>
  <sheetFormatPr defaultRowHeight="15" x14ac:dyDescent="0.25"/>
  <sheetData>
    <row r="1" spans="2:2" x14ac:dyDescent="0.25">
      <c r="B1" s="20" t="s">
        <v>214</v>
      </c>
    </row>
  </sheetData>
  <hyperlinks>
    <hyperlink ref="B1" r:id="rId1" location="'لیست اعضا'!A1" xr:uid="{DE9FE7E2-FC67-43CA-947A-D2414ABDD403}"/>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5A649-F6F2-4397-8074-4847D634DD10}">
  <dimension ref="A1"/>
  <sheetViews>
    <sheetView rightToLeft="1" workbookViewId="0">
      <selection activeCell="P34" sqref="P34"/>
    </sheetView>
  </sheetViews>
  <sheetFormatPr defaultRowHeight="15" x14ac:dyDescent="0.2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E8372-8306-4016-862C-6ED6F4A7035E}">
  <dimension ref="A1"/>
  <sheetViews>
    <sheetView rightToLeft="1" workbookViewId="0"/>
  </sheetViews>
  <sheetFormatPr defaultRowHeight="15" x14ac:dyDescent="0.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D798A-77A8-49DF-8B8B-FE6D936338E5}">
  <dimension ref="B1"/>
  <sheetViews>
    <sheetView rightToLeft="1" workbookViewId="0">
      <selection activeCell="B1" sqref="B1"/>
    </sheetView>
  </sheetViews>
  <sheetFormatPr defaultRowHeight="15" x14ac:dyDescent="0.25"/>
  <sheetData>
    <row r="1" spans="2:2" x14ac:dyDescent="0.25">
      <c r="B1" s="20" t="s">
        <v>20</v>
      </c>
    </row>
  </sheetData>
  <hyperlinks>
    <hyperlink ref="B1" r:id="rId1" location="'لیست اعضا'!A1" xr:uid="{C809EA2F-0168-43E8-A98E-F6144FF0514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37488-9DC2-4AC7-8600-B77AD66A9A6E}">
  <dimension ref="B1"/>
  <sheetViews>
    <sheetView rightToLeft="1" workbookViewId="0">
      <selection activeCell="B1" sqref="B1"/>
    </sheetView>
  </sheetViews>
  <sheetFormatPr defaultRowHeight="15" x14ac:dyDescent="0.25"/>
  <sheetData>
    <row r="1" spans="2:2" x14ac:dyDescent="0.25">
      <c r="B1" s="20" t="s">
        <v>19</v>
      </c>
    </row>
  </sheetData>
  <hyperlinks>
    <hyperlink ref="B1" r:id="rId1" location="'لیست اعضا'!A1" xr:uid="{F1AD3AF1-4F3E-4440-AC3A-2DB1A0F7A12E}"/>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641CC-AFC4-4AF1-82BC-8A4F2511FE2C}">
  <dimension ref="A1"/>
  <sheetViews>
    <sheetView rightToLeft="1" workbookViewId="0">
      <selection activeCell="O33" sqref="O33"/>
    </sheetView>
  </sheetViews>
  <sheetFormatPr defaultRowHeight="15" x14ac:dyDescent="0.2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05681-3791-4817-A985-A7861BCD75C8}">
  <dimension ref="A1"/>
  <sheetViews>
    <sheetView rightToLeft="1" workbookViewId="0">
      <selection activeCell="P33" sqref="P33"/>
    </sheetView>
  </sheetViews>
  <sheetFormatPr defaultRowHeight="15"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051F9-B230-48A6-85D5-C14EF6907094}">
  <dimension ref="B1"/>
  <sheetViews>
    <sheetView rightToLeft="1" workbookViewId="0">
      <selection activeCell="B1" sqref="B1"/>
    </sheetView>
  </sheetViews>
  <sheetFormatPr defaultRowHeight="15" x14ac:dyDescent="0.25"/>
  <cols>
    <col min="2" max="2" width="11.7109375" bestFit="1" customWidth="1"/>
  </cols>
  <sheetData>
    <row r="1" spans="2:2" x14ac:dyDescent="0.25">
      <c r="B1" s="20" t="s">
        <v>17</v>
      </c>
    </row>
  </sheetData>
  <hyperlinks>
    <hyperlink ref="B1" r:id="rId1" location="'لیست اعضا'!A1" xr:uid="{25290B05-4BBA-4B25-B61A-66932EFD485B}"/>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B954A-1635-42F1-B996-E01A44F7E18A}">
  <dimension ref="B1"/>
  <sheetViews>
    <sheetView rightToLeft="1" workbookViewId="0">
      <selection activeCell="B1" sqref="B1"/>
    </sheetView>
  </sheetViews>
  <sheetFormatPr defaultRowHeight="15" x14ac:dyDescent="0.25"/>
  <cols>
    <col min="2" max="2" width="10.42578125" bestFit="1" customWidth="1"/>
  </cols>
  <sheetData>
    <row r="1" spans="2:2" x14ac:dyDescent="0.25">
      <c r="B1" s="20" t="s">
        <v>18</v>
      </c>
    </row>
  </sheetData>
  <hyperlinks>
    <hyperlink ref="B1" r:id="rId1" location="'لیست اعضا'!A1" xr:uid="{BFA0DBF6-AEC1-4089-818F-DD5199C6660F}"/>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ED9C9-E670-484A-AC99-C0E6986FFB49}">
  <dimension ref="A1"/>
  <sheetViews>
    <sheetView rightToLeft="1" workbookViewId="0">
      <selection activeCell="Q32" sqref="Q32"/>
    </sheetView>
  </sheetViews>
  <sheetFormatPr defaultRowHeight="15"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5B3B3-7069-4970-AF36-D6EAC57E957B}">
  <dimension ref="B1"/>
  <sheetViews>
    <sheetView rightToLeft="1" workbookViewId="0">
      <selection activeCell="B1" sqref="B1"/>
    </sheetView>
  </sheetViews>
  <sheetFormatPr defaultRowHeight="15" x14ac:dyDescent="0.25"/>
  <sheetData>
    <row r="1" spans="2:2" x14ac:dyDescent="0.25">
      <c r="B1" s="20" t="s">
        <v>218</v>
      </c>
    </row>
  </sheetData>
  <hyperlinks>
    <hyperlink ref="B1" r:id="rId1" location="'لیست اعضا'!A1" xr:uid="{C15A96DB-0107-4DF1-8924-6C63F800D06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85526-B9AE-439D-9A52-EA630569BF82}">
  <dimension ref="A1"/>
  <sheetViews>
    <sheetView rightToLeft="1" workbookViewId="0">
      <selection activeCell="G8" sqref="G8"/>
    </sheetView>
  </sheetViews>
  <sheetFormatPr defaultRowHeight="15" x14ac:dyDescent="0.2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39DE1-3AC0-49F7-8FEF-03C3918BFD43}">
  <dimension ref="A1"/>
  <sheetViews>
    <sheetView rightToLeft="1" workbookViewId="0">
      <selection activeCell="G8" sqref="G8"/>
    </sheetView>
  </sheetViews>
  <sheetFormatPr defaultRowHeight="15" x14ac:dyDescent="0.2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87384-94E4-4694-8985-13CFB22C3F04}">
  <dimension ref="A1"/>
  <sheetViews>
    <sheetView rightToLeft="1" workbookViewId="0">
      <selection activeCell="G7" sqref="G7"/>
    </sheetView>
  </sheetViews>
  <sheetFormatPr defaultRowHeight="15" x14ac:dyDescent="0.2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ABD20-C749-4143-A838-4BCAD9262F61}">
  <dimension ref="A1"/>
  <sheetViews>
    <sheetView rightToLeft="1" workbookViewId="0">
      <selection activeCell="H8" sqref="H8"/>
    </sheetView>
  </sheetViews>
  <sheetFormatPr defaultRowHeight="15" x14ac:dyDescent="0.25"/>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E63DB-D750-4362-8D1D-A90E72C6C1FB}">
  <dimension ref="A1"/>
  <sheetViews>
    <sheetView rightToLeft="1" workbookViewId="0">
      <selection activeCell="F7" sqref="F7"/>
    </sheetView>
  </sheetViews>
  <sheetFormatPr defaultRowHeight="15" x14ac:dyDescent="0.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CC9F4-B67F-4E77-9A7D-129F8836DD11}">
  <dimension ref="A1"/>
  <sheetViews>
    <sheetView rightToLeft="1" workbookViewId="0">
      <selection activeCell="G7" sqref="G7"/>
    </sheetView>
  </sheetViews>
  <sheetFormatPr defaultRowHeight="15" x14ac:dyDescent="0.2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AF12E-D551-437A-BBB2-3BC5435EB700}">
  <dimension ref="A1"/>
  <sheetViews>
    <sheetView rightToLeft="1" workbookViewId="0">
      <selection activeCell="G7" sqref="G7"/>
    </sheetView>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CCF11-D1E2-4F06-9F5D-2FF42427BB18}">
  <dimension ref="A1"/>
  <sheetViews>
    <sheetView rightToLeft="1" workbookViewId="0">
      <selection activeCell="I6" sqref="I6"/>
    </sheetView>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608EF-9247-4A76-AC74-338758F9D490}">
  <dimension ref="A1"/>
  <sheetViews>
    <sheetView rightToLeft="1" workbookViewId="0">
      <selection activeCell="H8" sqref="H8"/>
    </sheetView>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7801C-46EB-4844-A9BF-871ECDB6CBFE}">
  <dimension ref="A1"/>
  <sheetViews>
    <sheetView rightToLeft="1" workbookViewId="0">
      <selection activeCell="F5" sqref="F5"/>
    </sheetView>
  </sheetViews>
  <sheetFormatPr defaultRowHeight="15" x14ac:dyDescent="0.25"/>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62449-8951-4667-9B08-97074C1DA3D3}">
  <dimension ref="A1"/>
  <sheetViews>
    <sheetView rightToLeft="1" workbookViewId="0">
      <selection activeCell="H7" sqref="H7"/>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لیست اعضا</vt:lpstr>
      <vt:lpstr>یزدی-بلندیان</vt:lpstr>
      <vt:lpstr>ابوالفضل بلندیان</vt:lpstr>
      <vt:lpstr>هاشم و نرگس حاجی قاسمی</vt:lpstr>
      <vt:lpstr>حمیده احمدی</vt:lpstr>
      <vt:lpstr>نرگس پرویز زاده</vt:lpstr>
      <vt:lpstr>پویا</vt:lpstr>
      <vt:lpstr>نرگس حاجی قاسمی</vt:lpstr>
      <vt:lpstr>اعظم خوانین زاده</vt:lpstr>
      <vt:lpstr>یوسف حاجی قاسمی</vt:lpstr>
      <vt:lpstr>مرتضی دزفولیان</vt:lpstr>
      <vt:lpstr>هادی مرادی</vt:lpstr>
      <vt:lpstr>امید علی حیدری</vt:lpstr>
      <vt:lpstr>زهرا کریمی دهکردی</vt:lpstr>
      <vt:lpstr>لیلا کریمی دهکردی</vt:lpstr>
      <vt:lpstr>سیما صالح</vt:lpstr>
      <vt:lpstr>یوسف زاده</vt:lpstr>
      <vt:lpstr>موسی مرادی</vt:lpstr>
      <vt:lpstr>مهدی آذری</vt:lpstr>
      <vt:lpstr>کاظم عبدالهی</vt:lpstr>
      <vt:lpstr>علی آبادی</vt:lpstr>
      <vt:lpstr>شمس</vt:lpstr>
      <vt:lpstr>نرجس خسروی</vt:lpstr>
      <vt:lpstr>بهاره خسروی</vt:lpstr>
      <vt:lpstr>ده بزرگی</vt:lpstr>
      <vt:lpstr>چگینی</vt:lpstr>
      <vt:lpstr>محمد نظری فرد</vt:lpstr>
      <vt:lpstr>جواد هاشمی</vt:lpstr>
      <vt:lpstr>جواد غفوری</vt:lpstr>
      <vt:lpstr>رضا علی نژاد</vt:lpstr>
      <vt:lpstr>مرتضی محبی</vt:lpstr>
      <vt:lpstr>مهرداد کشاورز</vt:lpstr>
      <vt:lpstr>کبری کرمی</vt:lpstr>
      <vt:lpstr>معصومه یوسفی</vt:lpstr>
      <vt:lpstr>محمد حسینی</vt:lpstr>
      <vt:lpstr>زهرا فیض</vt:lpstr>
      <vt:lpstr>مجید خاکساران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Abolfazl Bolandiyan</dc:creator>
  <cp:lastModifiedBy>FATER</cp:lastModifiedBy>
  <dcterms:created xsi:type="dcterms:W3CDTF">2025-04-22T04:50:16Z</dcterms:created>
  <dcterms:modified xsi:type="dcterms:W3CDTF">2025-06-28T02:42:18Z</dcterms:modified>
</cp:coreProperties>
</file>